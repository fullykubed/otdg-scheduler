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otential" sheetId="1" state="visible" r:id="rId3"/>
    <sheet name="Schedule_Code" sheetId="2" state="visible" r:id="rId4"/>
    <sheet name="Sales_Alias" sheetId="3" state="visible" r:id="rId5"/>
  </sheets>
  <definedNames>
    <definedName function="false" hidden="false" localSheetId="0" name="_xlnm.Print_Area" vbProcedure="false">Potential!$A$1:$R$196</definedName>
    <definedName function="false" hidden="false" name="BlackwellParkII" vbProcedure="false">Potential!$133:$138</definedName>
    <definedName function="false" hidden="false" name="ChathamHills" vbProcedure="false">Potential!$164:$173</definedName>
    <definedName function="false" hidden="false" name="ContractFinalization" vbProcedure="false">Potential!$59:$71</definedName>
    <definedName function="false" hidden="false" name="Contract_Finalization" vbProcedure="false">#REF!</definedName>
    <definedName function="false" hidden="false" name="Current" vbProcedure="false">#REF!</definedName>
    <definedName function="false" hidden="false" name="data" vbProcedure="false">#REF!</definedName>
    <definedName function="false" hidden="false" name="estimating_input_end" vbProcedure="false">#REF!</definedName>
    <definedName function="false" hidden="false" name="estimating_input_start" vbProcedure="false">#REF!</definedName>
    <definedName function="false" hidden="false" name="GrayOaks" vbProcedure="false">Potential!$125:$133</definedName>
    <definedName function="false" hidden="false" name="JacksonsGrant" vbProcedure="false">Potential!$109:$125</definedName>
    <definedName function="false" hidden="false" name="jobs" vbProcedure="false">#REF!</definedName>
    <definedName function="false" hidden="false" name="jobs2" vbProcedure="false">#REF!</definedName>
    <definedName function="false" hidden="false" name="MapleRidge" vbProcedure="false">Potential!$138:$150</definedName>
    <definedName function="false" hidden="false" name="ONLOT" vbProcedure="false">Potential!$72:$109</definedName>
    <definedName function="false" hidden="false" name="permit" vbProcedure="false">#REF!</definedName>
    <definedName function="false" hidden="false" name="Potential" vbProcedure="false">Potential!$A$59:$Q$199</definedName>
    <definedName function="false" hidden="false" name="Print_Output" vbProcedure="false">#REF!</definedName>
    <definedName function="false" hidden="false" name="Print_Output2" vbProcedure="false">#REF!</definedName>
    <definedName function="false" hidden="false" name="Punch" vbProcedure="false">#REF!</definedName>
    <definedName function="false" hidden="false" name="sched_start" vbProcedure="false">#REF!</definedName>
    <definedName function="false" hidden="false" name="SunriseVillage" vbProcedure="false">Potential!$158:$164</definedName>
    <definedName function="false" hidden="false" name="SunriseWoodlands" vbProcedure="false">Potential!$150:$158</definedName>
    <definedName function="false" hidden="false" localSheetId="0" name="jobs" vbProcedure="false">#REF!</definedName>
    <definedName function="false" hidden="false" localSheetId="0" name="jobs2" vbProcedure="false">#REF!</definedName>
    <definedName function="false" hidden="false" localSheetId="0" name="Print_Output" vbProcedure="false">#REF!</definedName>
    <definedName function="false" hidden="false" localSheetId="0" name="Print_Output2" vbProcedure="false">#REF!</definedName>
    <definedName function="false" hidden="false" localSheetId="0" name="_xlnm.Print_Area" vbProcedure="false">Potential!$A$1:$R$196</definedName>
    <definedName function="false" hidden="false" localSheetId="0" name="_xlnm.Print_Area_0" vbProcedure="false">Potential!$A$1:$R$196</definedName>
    <definedName function="false" hidden="false" localSheetId="0" name="_xlnm.Print_Area_0_0" vbProcedure="false">Potential!$A$1:$R$196</definedName>
    <definedName function="false" hidden="false" localSheetId="0" name="_xlnm.Print_Area_0_0_0" vbProcedure="false">Potential!$A$1:$R$196</definedName>
    <definedName function="false" hidden="false" localSheetId="0" name="_xlnm.Print_Area_0_0_0_0" vbProcedure="false">Potential!$A$1:$R$196</definedName>
    <definedName function="false" hidden="false" localSheetId="0" name="_xlnm.Print_Area_0_0_0_0_0" vbProcedure="false">Potential!$A$1:$R$196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<sst xmlns="http://schemas.openxmlformats.org/spreadsheetml/2006/main" count="683" uniqueCount="382">
  <si>
    <t xml:space="preserve"> </t>
  </si>
  <si>
    <t xml:space="preserve">Old Town Design Group Models</t>
  </si>
  <si>
    <t xml:space="preserve">LOCATION</t>
  </si>
  <si>
    <t xml:space="preserve">TOTAL SF</t>
  </si>
  <si>
    <t xml:space="preserve">PRICE</t>
  </si>
  <si>
    <t xml:space="preserve">Gray Oaks Model</t>
  </si>
  <si>
    <t xml:space="preserve">Lot 8</t>
  </si>
  <si>
    <t xml:space="preserve">W/ Out Lot</t>
  </si>
  <si>
    <t xml:space="preserve">Garage- 8486</t>
  </si>
  <si>
    <t xml:space="preserve">14288 McCormick Circle, Carmel, IN 46033</t>
  </si>
  <si>
    <t xml:space="preserve">Alarm- 8486</t>
  </si>
  <si>
    <t xml:space="preserve">Wifi Ntwk: Att6w7z8w7 </t>
  </si>
  <si>
    <t xml:space="preserve">PW: oldtown2016</t>
  </si>
  <si>
    <t xml:space="preserve">Sunrise Model</t>
  </si>
  <si>
    <t xml:space="preserve">Lot 77</t>
  </si>
  <si>
    <t xml:space="preserve">Garage- 1983</t>
  </si>
  <si>
    <t xml:space="preserve">9858 Morningstar Lane, Indianapolis, IN 46280</t>
  </si>
  <si>
    <t xml:space="preserve">Wifi Ntwk:bhnqdg1670a6172</t>
  </si>
  <si>
    <t xml:space="preserve">PW: a3247cdf</t>
  </si>
  <si>
    <t xml:space="preserve">Chatham Hills Model</t>
  </si>
  <si>
    <t xml:space="preserve">Lot C5</t>
  </si>
  <si>
    <t xml:space="preserve">Garage- 3235 / 7777</t>
  </si>
  <si>
    <t xml:space="preserve">1048 Chatham Hills Blvd., Westfield, IN 46074</t>
  </si>
  <si>
    <t xml:space="preserve">Alarm- 3235</t>
  </si>
  <si>
    <t xml:space="preserve">Wifi Ntwk: OTDGRocks!</t>
  </si>
  <si>
    <t xml:space="preserve">PW: 3176268486</t>
  </si>
  <si>
    <t xml:space="preserve">Jacksons Grant Model</t>
  </si>
  <si>
    <t xml:space="preserve">Lot 67</t>
  </si>
  <si>
    <t xml:space="preserve">W/Out Lot</t>
  </si>
  <si>
    <t xml:space="preserve">505 Jackson’s Grant Blvd, Carmel, IN 46032</t>
  </si>
  <si>
    <t xml:space="preserve">Wifi Ntwk: office</t>
  </si>
  <si>
    <t xml:space="preserve">PW: 12345678</t>
  </si>
  <si>
    <t xml:space="preserve">Maple Ridge Model</t>
  </si>
  <si>
    <t xml:space="preserve">Lot 2</t>
  </si>
  <si>
    <t xml:space="preserve">15275 Maple Ridge Drive, Carmel, IN 46033</t>
  </si>
  <si>
    <t xml:space="preserve">Alarm-</t>
  </si>
  <si>
    <t xml:space="preserve">Wifi Ntwk</t>
  </si>
  <si>
    <t xml:space="preserve">PW:</t>
  </si>
  <si>
    <t xml:space="preserve">Available Lots</t>
  </si>
  <si>
    <t xml:space="preserve">Chatham Hills</t>
  </si>
  <si>
    <t xml:space="preserve">Ashbury</t>
  </si>
  <si>
    <t xml:space="preserve">Lot E48</t>
  </si>
  <si>
    <t xml:space="preserve">City Center Southeast</t>
  </si>
  <si>
    <t xml:space="preserve">850 Pawnee</t>
  </si>
  <si>
    <t xml:space="preserve">Put teardown</t>
  </si>
  <si>
    <t xml:space="preserve">in build cost</t>
  </si>
  <si>
    <t xml:space="preserve">1B</t>
  </si>
  <si>
    <t xml:space="preserve">315 E 126th Street</t>
  </si>
  <si>
    <t xml:space="preserve">Lot Split</t>
  </si>
  <si>
    <t xml:space="preserve">Pending Sold-Dourado</t>
  </si>
  <si>
    <t xml:space="preserve">1C</t>
  </si>
  <si>
    <t xml:space="preserve">311 E 126th Street</t>
  </si>
  <si>
    <t xml:space="preserve">Lot K64</t>
  </si>
  <si>
    <t xml:space="preserve">Available Spec Homes</t>
  </si>
  <si>
    <t xml:space="preserve">SR-B510</t>
  </si>
  <si>
    <t xml:space="preserve">Sunrise</t>
  </si>
  <si>
    <t xml:space="preserve">Lot 114</t>
  </si>
  <si>
    <t xml:space="preserve">Including Lot</t>
  </si>
  <si>
    <t xml:space="preserve">UNDER CONTRACT-Galley</t>
  </si>
  <si>
    <t xml:space="preserve">Bingham</t>
  </si>
  <si>
    <t xml:space="preserve">SR-B503</t>
  </si>
  <si>
    <t xml:space="preserve">Lot 86</t>
  </si>
  <si>
    <t xml:space="preserve">UNDER CONTRACT</t>
  </si>
  <si>
    <t xml:space="preserve">Bishop</t>
  </si>
  <si>
    <t xml:space="preserve">SR-S84</t>
  </si>
  <si>
    <t xml:space="preserve">Lot 84</t>
  </si>
  <si>
    <t xml:space="preserve">Garage - 1983</t>
  </si>
  <si>
    <t xml:space="preserve">Summers</t>
  </si>
  <si>
    <t xml:space="preserve">SR-K101</t>
  </si>
  <si>
    <t xml:space="preserve">Lot 101</t>
  </si>
  <si>
    <t xml:space="preserve">Keltner</t>
  </si>
  <si>
    <t xml:space="preserve">Amy to schedule HOR</t>
  </si>
  <si>
    <t xml:space="preserve">SR-O100</t>
  </si>
  <si>
    <t xml:space="preserve">Lot 100</t>
  </si>
  <si>
    <t xml:space="preserve">Oliver</t>
  </si>
  <si>
    <t xml:space="preserve">Contract Finalization</t>
  </si>
  <si>
    <t xml:space="preserve">Last</t>
  </si>
  <si>
    <t xml:space="preserve">Email</t>
  </si>
  <si>
    <t xml:space="preserve">Business/Mobile</t>
  </si>
  <si>
    <t xml:space="preserve">Lot</t>
  </si>
  <si>
    <t xml:space="preserve">Est.</t>
  </si>
  <si>
    <t xml:space="preserve">Est. Home</t>
  </si>
  <si>
    <t xml:space="preserve">Kick</t>
  </si>
  <si>
    <t xml:space="preserve">Pres</t>
  </si>
  <si>
    <t xml:space="preserve">Next Steps:</t>
  </si>
  <si>
    <t xml:space="preserve">Realtor</t>
  </si>
  <si>
    <t xml:space="preserve">Shot</t>
  </si>
  <si>
    <t xml:space="preserve">S, T, W</t>
  </si>
  <si>
    <t xml:space="preserve">Designer</t>
  </si>
  <si>
    <t xml:space="preserve">Complex</t>
  </si>
  <si>
    <t xml:space="preserve">Sign Date</t>
  </si>
  <si>
    <t xml:space="preserve"> Price</t>
  </si>
  <si>
    <t xml:space="preserve">Off</t>
  </si>
  <si>
    <t xml:space="preserve">Grade</t>
  </si>
  <si>
    <t xml:space="preserve">Rating</t>
  </si>
  <si>
    <t xml:space="preserve">BP-A110</t>
  </si>
  <si>
    <t xml:space="preserve">JH</t>
  </si>
  <si>
    <t xml:space="preserve">c</t>
  </si>
  <si>
    <t xml:space="preserve">Anderson</t>
  </si>
  <si>
    <t xml:space="preserve">panderson@birealtyservices.com</t>
  </si>
  <si>
    <t xml:space="preserve">317-804-5434</t>
  </si>
  <si>
    <t xml:space="preserve">14 BP2</t>
  </si>
  <si>
    <t xml:space="preserve">closed</t>
  </si>
  <si>
    <t xml:space="preserve">TBD</t>
  </si>
  <si>
    <t xml:space="preserve">Hold 3/2018</t>
  </si>
  <si>
    <t xml:space="preserve">N</t>
  </si>
  <si>
    <t xml:space="preserve">Y</t>
  </si>
  <si>
    <t xml:space="preserve">Boyd</t>
  </si>
  <si>
    <t xml:space="preserve">Pete &amp; Kristen</t>
  </si>
  <si>
    <t xml:space="preserve">GO-L10</t>
  </si>
  <si>
    <t xml:space="preserve">GO Next Spec</t>
  </si>
  <si>
    <t xml:space="preserve">Old Town </t>
  </si>
  <si>
    <t xml:space="preserve">Design Group</t>
  </si>
  <si>
    <t xml:space="preserve">10 Gray Oaks</t>
  </si>
  <si>
    <t xml:space="preserve">Hold</t>
  </si>
  <si>
    <t xml:space="preserve">Julie</t>
  </si>
  <si>
    <t xml:space="preserve">OT-B204</t>
  </si>
  <si>
    <t xml:space="preserve">b</t>
  </si>
  <si>
    <t xml:space="preserve">Balcius</t>
  </si>
  <si>
    <t xml:space="preserve">mindabalcius@gmail.com</t>
  </si>
  <si>
    <t xml:space="preserve">317-919-5191</t>
  </si>
  <si>
    <t xml:space="preserve">220 1st Ave NE</t>
  </si>
  <si>
    <t xml:space="preserve">using outside designer</t>
  </si>
  <si>
    <t xml:space="preserve">Minda &amp; Amy</t>
  </si>
  <si>
    <t xml:space="preserve">$240k - client paying demo direct</t>
  </si>
  <si>
    <t xml:space="preserve">NW</t>
  </si>
  <si>
    <t xml:space="preserve">Kirsh</t>
  </si>
  <si>
    <t xml:space="preserve">Sylvan Lane</t>
  </si>
  <si>
    <t xml:space="preserve">1st,2nd, Bsmt review 12/5</t>
  </si>
  <si>
    <t xml:space="preserve">Grant &amp; Emley</t>
  </si>
  <si>
    <t xml:space="preserve">elev review 12/8</t>
  </si>
  <si>
    <t xml:space="preserve">SR-D125</t>
  </si>
  <si>
    <t xml:space="preserve">AL</t>
  </si>
  <si>
    <t xml:space="preserve">Davis </t>
  </si>
  <si>
    <t xml:space="preserve">sp_davis@yahoo.com</t>
  </si>
  <si>
    <t xml:space="preserve">317-344-2870</t>
  </si>
  <si>
    <t xml:space="preserve">125 Sunrise</t>
  </si>
  <si>
    <t xml:space="preserve">present 12/21</t>
  </si>
  <si>
    <t xml:space="preserve">Steve &amp; Hwee Voon</t>
  </si>
  <si>
    <t xml:space="preserve">847-867-2287</t>
  </si>
  <si>
    <t xml:space="preserve">LPA-new</t>
  </si>
  <si>
    <t xml:space="preserve">Active Pricing    On Your Lot</t>
  </si>
  <si>
    <t xml:space="preserve">OT-L236</t>
  </si>
  <si>
    <t xml:space="preserve">Langston</t>
  </si>
  <si>
    <t xml:space="preserve">jeff@oldtowndesigngroup.com</t>
  </si>
  <si>
    <t xml:space="preserve">Lot #3 &amp; #4 Mulberry Ln.</t>
  </si>
  <si>
    <t xml:space="preserve">?</t>
  </si>
  <si>
    <t xml:space="preserve">Jeff &amp; Wendy</t>
  </si>
  <si>
    <t xml:space="preserve">Wendy@everythinghomedesigns.com</t>
  </si>
  <si>
    <t xml:space="preserve">OT-S212</t>
  </si>
  <si>
    <t xml:space="preserve">Stanton</t>
  </si>
  <si>
    <t xml:space="preserve">bkstanton059@gmail.com</t>
  </si>
  <si>
    <t xml:space="preserve">812-549-5317</t>
  </si>
  <si>
    <t xml:space="preserve">330 1st Ave NW</t>
  </si>
  <si>
    <t xml:space="preserve">present w/o 12/25</t>
  </si>
  <si>
    <t xml:space="preserve">Jeff</t>
  </si>
  <si>
    <t xml:space="preserve">Brian &amp; Tracey</t>
  </si>
  <si>
    <t xml:space="preserve">ocrista@gmail.com</t>
  </si>
  <si>
    <t xml:space="preserve">In Ballpark pricing</t>
  </si>
  <si>
    <t xml:space="preserve">OT-M242</t>
  </si>
  <si>
    <t xml:space="preserve">Muckridge</t>
  </si>
  <si>
    <t xml:space="preserve">cmuckridge@gmail.com</t>
  </si>
  <si>
    <t xml:space="preserve">317-502-3879</t>
  </si>
  <si>
    <t xml:space="preserve">#19 Glen Oaks</t>
  </si>
  <si>
    <t xml:space="preserve">specs 12/21</t>
  </si>
  <si>
    <t xml:space="preserve">Chris</t>
  </si>
  <si>
    <t xml:space="preserve">OT-R761</t>
  </si>
  <si>
    <t xml:space="preserve">Rogers</t>
  </si>
  <si>
    <t xml:space="preserve">beckyrogers5@gmail.com</t>
  </si>
  <si>
    <t xml:space="preserve">317-371-9475</t>
  </si>
  <si>
    <t xml:space="preserve">761 1st Ave NW</t>
  </si>
  <si>
    <t xml:space="preserve">Becky</t>
  </si>
  <si>
    <t xml:space="preserve">Smith</t>
  </si>
  <si>
    <t xml:space="preserve">luke.smith@elanco.com</t>
  </si>
  <si>
    <t xml:space="preserve">317-258-2563</t>
  </si>
  <si>
    <t xml:space="preserve">Zionsville</t>
  </si>
  <si>
    <t xml:space="preserve">Design meeting 12/13</t>
  </si>
  <si>
    <t xml:space="preserve">Luke &amp; Jenny</t>
  </si>
  <si>
    <t xml:space="preserve">fritzjs9@gmail.com</t>
  </si>
  <si>
    <t xml:space="preserve">OT-C75</t>
  </si>
  <si>
    <t xml:space="preserve">Charles</t>
  </si>
  <si>
    <t xml:space="preserve">jpcharles@fedex.com</t>
  </si>
  <si>
    <t xml:space="preserve">317-223-4229</t>
  </si>
  <si>
    <t xml:space="preserve">75 Pawnee</t>
  </si>
  <si>
    <t xml:space="preserve">Plan Review &amp; Specs 12/20</t>
  </si>
  <si>
    <t xml:space="preserve">Pat &amp; Phoebe</t>
  </si>
  <si>
    <t xml:space="preserve">OT-J850</t>
  </si>
  <si>
    <t xml:space="preserve">Jobs</t>
  </si>
  <si>
    <t xml:space="preserve">ajobs@ajassociatespc.com</t>
  </si>
  <si>
    <t xml:space="preserve">317-509-0254</t>
  </si>
  <si>
    <t xml:space="preserve">850 Pawneee</t>
  </si>
  <si>
    <t xml:space="preserve">Alli</t>
  </si>
  <si>
    <t xml:space="preserve">Arnie &amp; Joyce</t>
  </si>
  <si>
    <t xml:space="preserve">OT-C510</t>
  </si>
  <si>
    <t xml:space="preserve">Cooper</t>
  </si>
  <si>
    <t xml:space="preserve">jeffcoop64@gmail.com</t>
  </si>
  <si>
    <t xml:space="preserve">317-902-7700</t>
  </si>
  <si>
    <t xml:space="preserve">510 Eagle View</t>
  </si>
  <si>
    <t xml:space="preserve">meeting 12/20 on site</t>
  </si>
  <si>
    <t xml:space="preserve">Mark</t>
  </si>
  <si>
    <t xml:space="preserve">OT-P319</t>
  </si>
  <si>
    <t xml:space="preserve">Poyser</t>
  </si>
  <si>
    <t xml:space="preserve">KarenPoyser@gmail.com</t>
  </si>
  <si>
    <t xml:space="preserve">317-514-9262</t>
  </si>
  <si>
    <t xml:space="preserve">319 E 126th Street</t>
  </si>
  <si>
    <r>
      <rPr>
        <sz val="12"/>
        <rFont val="Arial"/>
        <family val="2"/>
        <charset val="1"/>
      </rPr>
      <t xml:space="preserve">Closing on Lot - </t>
    </r>
    <r>
      <rPr>
        <b val="true"/>
        <sz val="10"/>
        <color rgb="FFFF0000"/>
        <rFont val="Arial"/>
        <family val="2"/>
        <charset val="1"/>
      </rPr>
      <t xml:space="preserve">HOLD</t>
    </r>
  </si>
  <si>
    <t xml:space="preserve">Tom &amp; Karen</t>
  </si>
  <si>
    <t xml:space="preserve">Jackson's Grant</t>
  </si>
  <si>
    <t xml:space="preserve">w</t>
  </si>
  <si>
    <t xml:space="preserve">Dig Date</t>
  </si>
  <si>
    <t xml:space="preserve">JG-S615</t>
  </si>
  <si>
    <t xml:space="preserve">L</t>
  </si>
  <si>
    <t xml:space="preserve">Samudio</t>
  </si>
  <si>
    <t xml:space="preserve">msam@frontier.com</t>
  </si>
  <si>
    <t xml:space="preserve">765-714-0199</t>
  </si>
  <si>
    <t xml:space="preserve">49 JG Alley Load</t>
  </si>
  <si>
    <t xml:space="preserve">Sign Contract mid December</t>
  </si>
  <si>
    <t xml:space="preserve">Margaret (Maggie)</t>
  </si>
  <si>
    <t xml:space="preserve">Lynn to contact</t>
  </si>
  <si>
    <t xml:space="preserve">JG-K629</t>
  </si>
  <si>
    <t xml:space="preserve">Knapp</t>
  </si>
  <si>
    <t xml:space="preserve">petermknapp@gmail.com</t>
  </si>
  <si>
    <t xml:space="preserve">317-513-8379 Peter</t>
  </si>
  <si>
    <t xml:space="preserve">241 JG Front Load</t>
  </si>
  <si>
    <t xml:space="preserve">spec meeting 12/19</t>
  </si>
  <si>
    <t xml:space="preserve">Peter &amp; Barbara</t>
  </si>
  <si>
    <t xml:space="preserve">barbbknapp@gmail.com</t>
  </si>
  <si>
    <t xml:space="preserve">317-513-8303 Barb</t>
  </si>
  <si>
    <t xml:space="preserve">JG-P250</t>
  </si>
  <si>
    <t xml:space="preserve">Ploshay</t>
  </si>
  <si>
    <t xml:space="preserve">250 JG Front Load</t>
  </si>
  <si>
    <t xml:space="preserve">in contract pricing</t>
  </si>
  <si>
    <t xml:space="preserve">Anne &amp; Bruce</t>
  </si>
  <si>
    <t xml:space="preserve">present week of 1/1</t>
  </si>
  <si>
    <t xml:space="preserve">JG-M242</t>
  </si>
  <si>
    <t xml:space="preserve">McCrory</t>
  </si>
  <si>
    <t xml:space="preserve">242 JG Front Load</t>
  </si>
  <si>
    <t xml:space="preserve">Dennis &amp; Sue</t>
  </si>
  <si>
    <t xml:space="preserve">Gray Oaks </t>
  </si>
  <si>
    <t xml:space="preserve">GO-R12</t>
  </si>
  <si>
    <t xml:space="preserve">JB</t>
  </si>
  <si>
    <t xml:space="preserve">McMichael</t>
  </si>
  <si>
    <t xml:space="preserve">periandroger@gmail.com</t>
  </si>
  <si>
    <t xml:space="preserve">317-514-6254 R</t>
  </si>
  <si>
    <t xml:space="preserve">12 Gray Oaks</t>
  </si>
  <si>
    <t xml:space="preserve">HOLD</t>
  </si>
  <si>
    <t xml:space="preserve">Roger &amp; Peri</t>
  </si>
  <si>
    <t xml:space="preserve">317-408-5333 P</t>
  </si>
  <si>
    <t xml:space="preserve">lot close on 12/4</t>
  </si>
  <si>
    <t xml:space="preserve">GO-J39</t>
  </si>
  <si>
    <t xml:space="preserve">Jacobsen</t>
  </si>
  <si>
    <t xml:space="preserve">john_jacobsen@sbcglobal.net</t>
  </si>
  <si>
    <t xml:space="preserve">317-846-4034 J</t>
  </si>
  <si>
    <t xml:space="preserve">39 Gray Oaks</t>
  </si>
  <si>
    <t xml:space="preserve">John &amp; Katie</t>
  </si>
  <si>
    <t xml:space="preserve">kjacobsen@tubeproc.com</t>
  </si>
  <si>
    <t xml:space="preserve">317-753-6840 K</t>
  </si>
  <si>
    <t xml:space="preserve">Blackwell Park II</t>
  </si>
  <si>
    <t xml:space="preserve">BP-B102</t>
  </si>
  <si>
    <t xml:space="preserve">Broughton</t>
  </si>
  <si>
    <t xml:space="preserve">matt.broughton@wellsfargo.com</t>
  </si>
  <si>
    <t xml:space="preserve">317-258-5829</t>
  </si>
  <si>
    <t xml:space="preserve">4 Blackwell Park 2</t>
  </si>
  <si>
    <t xml:space="preserve">Matt &amp; Wendy</t>
  </si>
  <si>
    <t xml:space="preserve">wendy.broughton@att.net</t>
  </si>
  <si>
    <t xml:space="preserve">Maple Ridge</t>
  </si>
  <si>
    <t xml:space="preserve">MR-S710</t>
  </si>
  <si>
    <t xml:space="preserve">Lawrence</t>
  </si>
  <si>
    <t xml:space="preserve">glawrence1@indy.rr.com</t>
  </si>
  <si>
    <t xml:space="preserve">317-843-9531</t>
  </si>
  <si>
    <t xml:space="preserve">23/24 Maple Ridge</t>
  </si>
  <si>
    <t xml:space="preserve">George</t>
  </si>
  <si>
    <t xml:space="preserve">Maybe referal fee for friend</t>
  </si>
  <si>
    <t xml:space="preserve">MR-D18</t>
  </si>
  <si>
    <t xml:space="preserve">DeWitt</t>
  </si>
  <si>
    <t xml:space="preserve">annette0909@yahoo.com</t>
  </si>
  <si>
    <t xml:space="preserve">317-842-7772</t>
  </si>
  <si>
    <t xml:space="preserve">18 Maple Ridge</t>
  </si>
  <si>
    <t xml:space="preserve">In contract pricing</t>
  </si>
  <si>
    <t xml:space="preserve">John &amp; Annette</t>
  </si>
  <si>
    <t xml:space="preserve">MR-R671</t>
  </si>
  <si>
    <t xml:space="preserve">Rust</t>
  </si>
  <si>
    <t xml:space="preserve">lindsayrust5@gmail.com</t>
  </si>
  <si>
    <t xml:space="preserve">317-671-1911 L</t>
  </si>
  <si>
    <t xml:space="preserve">21-22 Maple Ridge</t>
  </si>
  <si>
    <t xml:space="preserve">1st Floor Plan Design Review 12/21</t>
  </si>
  <si>
    <t xml:space="preserve">Lindsay &amp; Brandon</t>
  </si>
  <si>
    <t xml:space="preserve">brandonjrust@gmail.com</t>
  </si>
  <si>
    <t xml:space="preserve">317-697-7532 B</t>
  </si>
  <si>
    <t xml:space="preserve">Sunrise Woodlands</t>
  </si>
  <si>
    <t xml:space="preserve">SR-B528</t>
  </si>
  <si>
    <t xml:space="preserve">Buttrum</t>
  </si>
  <si>
    <t xml:space="preserve">Buttrum-jeanbutrum@gmail.com</t>
  </si>
  <si>
    <t xml:space="preserve">374-2358</t>
  </si>
  <si>
    <t xml:space="preserve">126 Sunrise</t>
  </si>
  <si>
    <t xml:space="preserve">Jeffery &amp; Jean</t>
  </si>
  <si>
    <t xml:space="preserve">jdbuttrum@gmail.com </t>
  </si>
  <si>
    <t xml:space="preserve">SR-L135</t>
  </si>
  <si>
    <t xml:space="preserve">Lucich</t>
  </si>
  <si>
    <t xml:space="preserve">johnlucich@gmail.com</t>
  </si>
  <si>
    <t xml:space="preserve">317-727-8240</t>
  </si>
  <si>
    <t xml:space="preserve">135 Sunrise</t>
  </si>
  <si>
    <t xml:space="preserve">John &amp; Theresa</t>
  </si>
  <si>
    <t xml:space="preserve">Sunrise Village</t>
  </si>
  <si>
    <t xml:space="preserve">CH-M418</t>
  </si>
  <si>
    <t xml:space="preserve">T</t>
  </si>
  <si>
    <t xml:space="preserve">McDowell</t>
  </si>
  <si>
    <t xml:space="preserve">wmcdowell@fhlbi.com</t>
  </si>
  <si>
    <t xml:space="preserve">317-201-8912</t>
  </si>
  <si>
    <t xml:space="preserve">E-41 Chatham</t>
  </si>
  <si>
    <t xml:space="preserve">Bill &amp; Amy</t>
  </si>
  <si>
    <t xml:space="preserve">indymcdowell@gmail.com</t>
  </si>
  <si>
    <t xml:space="preserve">317-413-6400</t>
  </si>
  <si>
    <t xml:space="preserve">closing on lot 1/13</t>
  </si>
  <si>
    <t xml:space="preserve">CH-CF72</t>
  </si>
  <si>
    <t xml:space="preserve">Casey</t>
  </si>
  <si>
    <t xml:space="preserve">jeffcasey13@gmail.com</t>
  </si>
  <si>
    <t xml:space="preserve">317-258-2770</t>
  </si>
  <si>
    <t xml:space="preserve">F-72  Chatham Hills</t>
  </si>
  <si>
    <t xml:space="preserve">Jeff &amp; Jane</t>
  </si>
  <si>
    <t xml:space="preserve">need to sell home</t>
  </si>
  <si>
    <t xml:space="preserve">CH-S430</t>
  </si>
  <si>
    <t xml:space="preserve">Sawyer</t>
  </si>
  <si>
    <t xml:space="preserve">rsawyer@smithsawyerins.com</t>
  </si>
  <si>
    <t xml:space="preserve">574-223-0664</t>
  </si>
  <si>
    <t xml:space="preserve">F-6 Chatham Hills</t>
  </si>
  <si>
    <t xml:space="preserve">Res/1st May</t>
  </si>
  <si>
    <t xml:space="preserve">Rob</t>
  </si>
  <si>
    <t xml:space="preserve">CH-PF68</t>
  </si>
  <si>
    <t xml:space="preserve">Pate</t>
  </si>
  <si>
    <t xml:space="preserve">sfarasha@gmail.com</t>
  </si>
  <si>
    <t xml:space="preserve">317-607-0898</t>
  </si>
  <si>
    <t xml:space="preserve">F-68 Chatham Hills</t>
  </si>
  <si>
    <t xml:space="preserve">closed </t>
  </si>
  <si>
    <t xml:space="preserve">Matt &amp; Sara</t>
  </si>
  <si>
    <t xml:space="preserve">CH-BE39</t>
  </si>
  <si>
    <t xml:space="preserve">Braun</t>
  </si>
  <si>
    <t xml:space="preserve">ashleypowellbraun@gmail.com</t>
  </si>
  <si>
    <t xml:space="preserve">513-505-9639</t>
  </si>
  <si>
    <t xml:space="preserve">E-39 Chatham Hills</t>
  </si>
  <si>
    <t xml:space="preserve">Zach &amp; Ashley</t>
  </si>
  <si>
    <t xml:space="preserve">zach.braun@salesvue.com</t>
  </si>
  <si>
    <t xml:space="preserve">CH-HF22</t>
  </si>
  <si>
    <t xml:space="preserve">Herman</t>
  </si>
  <si>
    <t xml:space="preserve">F-22 Chatham Hills</t>
  </si>
  <si>
    <t xml:space="preserve">Internal Specs</t>
  </si>
  <si>
    <t xml:space="preserve">Herb &amp; Teena</t>
  </si>
  <si>
    <t xml:space="preserve">CH-GE48</t>
  </si>
  <si>
    <t xml:space="preserve">Galley</t>
  </si>
  <si>
    <t xml:space="preserve">E-48 Chatham Hills</t>
  </si>
  <si>
    <t xml:space="preserve">Phone conference 12/18</t>
  </si>
  <si>
    <t xml:space="preserve">Kevin &amp; Teresa</t>
  </si>
  <si>
    <t xml:space="preserve">CH-WM04</t>
  </si>
  <si>
    <t xml:space="preserve">Wede</t>
  </si>
  <si>
    <t xml:space="preserve">M-4 Chatham Hills</t>
  </si>
  <si>
    <t xml:space="preserve">3rd party design concept</t>
  </si>
  <si>
    <t xml:space="preserve">Bob &amp; Tammy</t>
  </si>
  <si>
    <t xml:space="preserve">CH-SK81</t>
  </si>
  <si>
    <t xml:space="preserve">St. Louis</t>
  </si>
  <si>
    <t xml:space="preserve">K-81 Chatham Hills</t>
  </si>
  <si>
    <t xml:space="preserve">Initial Design 12/20</t>
  </si>
  <si>
    <t xml:space="preserve">Dave &amp; Kathleen</t>
  </si>
  <si>
    <t xml:space="preserve">Insert Above</t>
  </si>
  <si>
    <t xml:space="preserve">Pre-Kick-Off</t>
  </si>
  <si>
    <t xml:space="preserve">Kick-Off</t>
  </si>
  <si>
    <t xml:space="preserve">Poly</t>
  </si>
  <si>
    <t xml:space="preserve">Trim Input</t>
  </si>
  <si>
    <t xml:space="preserve">Bids Due</t>
  </si>
  <si>
    <t xml:space="preserve">Estimate Review</t>
  </si>
  <si>
    <t xml:space="preserve">Alias</t>
  </si>
  <si>
    <t xml:space="preserve">&gt;= Workdays Before</t>
  </si>
  <si>
    <t xml:space="preserve">Specific Day</t>
  </si>
  <si>
    <t xml:space="preserve">Contract</t>
  </si>
  <si>
    <t xml:space="preserve">Ballpark</t>
  </si>
  <si>
    <t xml:space="preserve">Name</t>
  </si>
  <si>
    <t xml:space="preserve">John Hefton</t>
  </si>
  <si>
    <t xml:space="preserve">Nate Weiss</t>
  </si>
  <si>
    <t xml:space="preserve">Amy Lickliter</t>
  </si>
  <si>
    <t xml:space="preserve">Lyn Williams</t>
  </si>
  <si>
    <t xml:space="preserve">Tammi Kaiser</t>
  </si>
  <si>
    <t xml:space="preserve">J</t>
  </si>
  <si>
    <t xml:space="preserve">Janet Bantz</t>
  </si>
</sst>
</file>

<file path=xl/styles.xml><?xml version="1.0" encoding="utf-8"?>
<styleSheet xmlns="http://schemas.openxmlformats.org/spreadsheetml/2006/main">
  <numFmts count="11">
    <numFmt numFmtId="164" formatCode="General"/>
    <numFmt numFmtId="165" formatCode="M/D;@"/>
    <numFmt numFmtId="166" formatCode="M/D/YYYY"/>
    <numFmt numFmtId="167" formatCode="#,##0"/>
    <numFmt numFmtId="168" formatCode="\$#,##0"/>
    <numFmt numFmtId="169" formatCode="0.00"/>
    <numFmt numFmtId="170" formatCode="\$#,##0.00"/>
    <numFmt numFmtId="171" formatCode="D\-MMM"/>
    <numFmt numFmtId="172" formatCode="\$#,##0_);[RED]&quot;($&quot;#,##0\)"/>
    <numFmt numFmtId="173" formatCode="\$#,##0;[RED]&quot;-$&quot;#,##0"/>
    <numFmt numFmtId="174" formatCode="\$#,##0.00_);[RED]&quot;($&quot;#,##0.00\)"/>
  </numFmts>
  <fonts count="26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b val="true"/>
      <sz val="12"/>
      <color rgb="FFFF0000"/>
      <name val="Arial"/>
      <family val="2"/>
      <charset val="1"/>
    </font>
    <font>
      <b val="true"/>
      <u val="single"/>
      <sz val="20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2"/>
      <name val="Arial"/>
      <family val="2"/>
      <charset val="1"/>
    </font>
    <font>
      <b val="true"/>
      <sz val="14"/>
      <name val="Arial"/>
      <family val="2"/>
      <charset val="1"/>
    </font>
    <font>
      <b val="true"/>
      <u val="single"/>
      <sz val="14"/>
      <name val="Arial"/>
      <family val="2"/>
      <charset val="1"/>
    </font>
    <font>
      <b val="true"/>
      <u val="single"/>
      <sz val="10"/>
      <name val="Arial"/>
      <family val="2"/>
      <charset val="1"/>
    </font>
    <font>
      <b val="true"/>
      <sz val="11"/>
      <name val="Arial"/>
      <family val="2"/>
      <charset val="1"/>
    </font>
    <font>
      <sz val="12"/>
      <color rgb="FF222222"/>
      <name val="Arial"/>
      <family val="2"/>
      <charset val="1"/>
    </font>
    <font>
      <sz val="12"/>
      <color rgb="FF000000"/>
      <name val="Arial"/>
      <family val="2"/>
      <charset val="1"/>
    </font>
    <font>
      <u val="single"/>
      <sz val="10"/>
      <color rgb="FF0000D4"/>
      <name val="Arial"/>
      <family val="2"/>
      <charset val="1"/>
    </font>
    <font>
      <u val="single"/>
      <sz val="12"/>
      <color rgb="FF0000D4"/>
      <name val="Arial"/>
      <family val="2"/>
      <charset val="1"/>
    </font>
    <font>
      <sz val="12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6"/>
      <name val="Arial"/>
      <family val="2"/>
      <charset val="1"/>
    </font>
    <font>
      <sz val="12"/>
      <color rgb="FFFF0000"/>
      <name val="Arial"/>
      <family val="2"/>
      <charset val="1"/>
    </font>
    <font>
      <b val="true"/>
      <i val="true"/>
      <sz val="10"/>
      <name val="Arial"/>
      <family val="2"/>
      <charset val="1"/>
    </font>
    <font>
      <b val="true"/>
      <sz val="10"/>
      <name val="Arial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C0C0C0"/>
      </patternFill>
    </fill>
    <fill>
      <patternFill patternType="solid">
        <fgColor rgb="FFFFFF00"/>
        <bgColor rgb="FFFFFF00"/>
      </patternFill>
    </fill>
    <fill>
      <patternFill patternType="solid">
        <fgColor rgb="FFF79646"/>
        <bgColor rgb="FFFF8080"/>
      </patternFill>
    </fill>
  </fills>
  <borders count="22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thin"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7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0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9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2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6" fillId="0" borderId="0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0" fontId="6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6" fillId="3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6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1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6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6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6" fillId="0" borderId="1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7" fillId="0" borderId="1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2" fontId="6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1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1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1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4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4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10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3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2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2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10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7" fillId="3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6" fillId="3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2" borderId="2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4" fillId="2" borderId="2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2">
    <dxf>
      <font>
        <b val="1"/>
        <i val="0"/>
        <color rgb="FF215968"/>
      </font>
      <fill>
        <patternFill>
          <bgColor rgb="FF92D050"/>
        </patternFill>
      </fill>
    </dxf>
    <dxf>
      <font>
        <b val="1"/>
        <i val="0"/>
      </font>
      <numFmt numFmtId="164" formatCode="General"/>
      <fill>
        <patternFill>
          <bgColor rgb="FFFFC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D4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000"/>
      <rgbColor rgb="FFF79646"/>
      <rgbColor rgb="FFFF6600"/>
      <rgbColor rgb="FF666699"/>
      <rgbColor rgb="FF969696"/>
      <rgbColor rgb="FF215968"/>
      <rgbColor rgb="FF339966"/>
      <rgbColor rgb="FF003300"/>
      <rgbColor rgb="FF333300"/>
      <rgbColor rgb="FF993300"/>
      <rgbColor rgb="FF993366"/>
      <rgbColor rgb="FF333399"/>
      <rgbColor rgb="FF22222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jeff@oldtowndesigngroup.com" TargetMode="External"/><Relationship Id="rId2" Type="http://schemas.openxmlformats.org/officeDocument/2006/relationships/hyperlink" Target="mailto:Wendy@everythinghomedesigns.com" TargetMode="External"/><Relationship Id="rId3" Type="http://schemas.openxmlformats.org/officeDocument/2006/relationships/hyperlink" Target="mailto:jpcharles@fedex.com" TargetMode="External"/><Relationship Id="rId4" Type="http://schemas.openxmlformats.org/officeDocument/2006/relationships/hyperlink" Target="mailto:ajobs@ajassociatespc.com" TargetMode="External"/><Relationship Id="rId5" Type="http://schemas.openxmlformats.org/officeDocument/2006/relationships/hyperlink" Target="mailto:jeffcoop64@gmail.com" TargetMode="External"/><Relationship Id="rId6" Type="http://schemas.openxmlformats.org/officeDocument/2006/relationships/hyperlink" Target="mailto:msam@frontier.com" TargetMode="External"/><Relationship Id="rId7" Type="http://schemas.openxmlformats.org/officeDocument/2006/relationships/hyperlink" Target="mailto:matt.broughton@wellsfargo.com" TargetMode="External"/><Relationship Id="rId8" Type="http://schemas.openxmlformats.org/officeDocument/2006/relationships/hyperlink" Target="file:///192.168.1.132/!/Users/kristi/AppData/tel/317-258-5829" TargetMode="External"/><Relationship Id="rId9" Type="http://schemas.openxmlformats.org/officeDocument/2006/relationships/hyperlink" Target="mailto:rsawyer@smithsawyerins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BM199"/>
  <sheetViews>
    <sheetView showFormulas="false" showGridLines="true" showRowColHeaders="true" showZeros="true" rightToLeft="false" tabSelected="false" showOutlineSymbols="true" defaultGridColor="true" view="normal" topLeftCell="A148" colorId="64" zoomScale="70" zoomScaleNormal="70" zoomScalePageLayoutView="100" workbookViewId="0">
      <pane xSplit="4" ySplit="0" topLeftCell="E148" activePane="topRight" state="frozen"/>
      <selection pane="topLeft" activeCell="A148" activeCellId="0" sqref="A148"/>
      <selection pane="topRight" activeCell="L175" activeCellId="0" sqref="L175"/>
    </sheetView>
  </sheetViews>
  <sheetFormatPr defaultRowHeight="12.75" zeroHeight="false" outlineLevelRow="0" outlineLevelCol="0"/>
  <cols>
    <col collapsed="false" customWidth="true" hidden="false" outlineLevel="0" max="1" min="1" style="1" width="9.42"/>
    <col collapsed="false" customWidth="true" hidden="false" outlineLevel="0" max="2" min="2" style="1" width="3.98"/>
    <col collapsed="false" customWidth="true" hidden="false" outlineLevel="0" max="3" min="3" style="2" width="4.71"/>
    <col collapsed="false" customWidth="true" hidden="false" outlineLevel="0" max="4" min="4" style="1" width="32.71"/>
    <col collapsed="false" customWidth="true" hidden="false" outlineLevel="0" max="5" min="5" style="2" width="46.29"/>
    <col collapsed="false" customWidth="true" hidden="false" outlineLevel="0" max="6" min="6" style="3" width="23.57"/>
    <col collapsed="false" customWidth="true" hidden="false" outlineLevel="0" max="7" min="7" style="4" width="26.85"/>
    <col collapsed="false" customWidth="true" hidden="false" outlineLevel="0" max="8" min="8" style="2" width="16"/>
    <col collapsed="false" customWidth="true" hidden="false" outlineLevel="0" max="9" min="9" style="1" width="15.29"/>
    <col collapsed="false" customWidth="true" hidden="false" outlineLevel="0" max="10" min="10" style="1" width="24.71"/>
    <col collapsed="false" customWidth="true" hidden="false" outlineLevel="0" max="11" min="11" style="2" width="6.71"/>
    <col collapsed="false" customWidth="true" hidden="false" outlineLevel="0" max="12" min="12" style="5" width="12.14"/>
    <col collapsed="false" customWidth="true" hidden="false" outlineLevel="0" max="13" min="13" style="6" width="42.71"/>
    <col collapsed="false" customWidth="true" hidden="false" outlineLevel="0" max="14" min="14" style="2" width="11.42"/>
    <col collapsed="false" customWidth="true" hidden="false" outlineLevel="0" max="15" min="15" style="1" width="9.42"/>
    <col collapsed="false" customWidth="true" hidden="false" outlineLevel="0" max="16" min="16" style="1" width="10.29"/>
    <col collapsed="false" customWidth="true" hidden="false" outlineLevel="0" max="17" min="17" style="7" width="10"/>
    <col collapsed="false" customWidth="true" hidden="false" outlineLevel="0" max="18" min="18" style="1" width="10"/>
    <col collapsed="false" customWidth="true" hidden="false" outlineLevel="0" max="133" min="19" style="1" width="8.71"/>
    <col collapsed="false" customWidth="true" hidden="false" outlineLevel="0" max="134" min="134" style="1" width="3.98"/>
    <col collapsed="false" customWidth="true" hidden="false" outlineLevel="0" max="135" min="135" style="1" width="1.42"/>
    <col collapsed="false" customWidth="true" hidden="false" outlineLevel="0" max="136" min="136" style="1" width="22.14"/>
    <col collapsed="false" customWidth="true" hidden="false" outlineLevel="0" max="137" min="137" style="1" width="17.29"/>
    <col collapsed="false" customWidth="true" hidden="false" outlineLevel="0" max="138" min="138" style="1" width="28.3"/>
    <col collapsed="false" customWidth="true" hidden="false" outlineLevel="0" max="139" min="139" style="1" width="20.14"/>
    <col collapsed="false" customWidth="true" hidden="false" outlineLevel="0" max="140" min="140" style="1" width="20.3"/>
    <col collapsed="false" customWidth="true" hidden="false" outlineLevel="0" max="141" min="141" style="1" width="16.14"/>
    <col collapsed="false" customWidth="true" hidden="false" outlineLevel="0" max="142" min="142" style="1" width="11.71"/>
    <col collapsed="false" customWidth="true" hidden="false" outlineLevel="0" max="143" min="143" style="1" width="11.42"/>
    <col collapsed="false" customWidth="true" hidden="false" outlineLevel="0" max="144" min="144" style="1" width="6.71"/>
    <col collapsed="false" customWidth="true" hidden="false" outlineLevel="0" max="145" min="145" style="1" width="8.29"/>
    <col collapsed="false" customWidth="true" hidden="false" outlineLevel="0" max="146" min="146" style="1" width="31.43"/>
    <col collapsed="false" customWidth="true" hidden="false" outlineLevel="0" max="147" min="147" style="1" width="7.41"/>
    <col collapsed="false" customWidth="true" hidden="false" outlineLevel="0" max="148" min="148" style="1" width="6.71"/>
    <col collapsed="false" customWidth="true" hidden="false" outlineLevel="0" max="150" min="149" style="1" width="3.71"/>
    <col collapsed="false" customWidth="true" hidden="false" outlineLevel="0" max="389" min="151" style="1" width="8.71"/>
    <col collapsed="false" customWidth="true" hidden="false" outlineLevel="0" max="390" min="390" style="1" width="3.98"/>
    <col collapsed="false" customWidth="true" hidden="false" outlineLevel="0" max="391" min="391" style="1" width="1.42"/>
    <col collapsed="false" customWidth="true" hidden="false" outlineLevel="0" max="392" min="392" style="1" width="22.14"/>
    <col collapsed="false" customWidth="true" hidden="false" outlineLevel="0" max="393" min="393" style="1" width="17.29"/>
    <col collapsed="false" customWidth="true" hidden="false" outlineLevel="0" max="394" min="394" style="1" width="28.3"/>
    <col collapsed="false" customWidth="true" hidden="false" outlineLevel="0" max="395" min="395" style="1" width="20.14"/>
    <col collapsed="false" customWidth="true" hidden="false" outlineLevel="0" max="396" min="396" style="1" width="20.3"/>
    <col collapsed="false" customWidth="true" hidden="false" outlineLevel="0" max="397" min="397" style="1" width="16.14"/>
    <col collapsed="false" customWidth="true" hidden="false" outlineLevel="0" max="398" min="398" style="1" width="11.71"/>
    <col collapsed="false" customWidth="true" hidden="false" outlineLevel="0" max="399" min="399" style="1" width="11.42"/>
    <col collapsed="false" customWidth="true" hidden="false" outlineLevel="0" max="400" min="400" style="1" width="6.71"/>
    <col collapsed="false" customWidth="true" hidden="false" outlineLevel="0" max="401" min="401" style="1" width="8.29"/>
    <col collapsed="false" customWidth="true" hidden="false" outlineLevel="0" max="402" min="402" style="1" width="31.43"/>
    <col collapsed="false" customWidth="true" hidden="false" outlineLevel="0" max="403" min="403" style="1" width="7.41"/>
    <col collapsed="false" customWidth="true" hidden="false" outlineLevel="0" max="404" min="404" style="1" width="6.71"/>
    <col collapsed="false" customWidth="true" hidden="false" outlineLevel="0" max="406" min="405" style="1" width="3.71"/>
    <col collapsed="false" customWidth="true" hidden="false" outlineLevel="0" max="645" min="407" style="1" width="8.71"/>
    <col collapsed="false" customWidth="true" hidden="false" outlineLevel="0" max="646" min="646" style="1" width="3.98"/>
    <col collapsed="false" customWidth="true" hidden="false" outlineLevel="0" max="647" min="647" style="1" width="1.42"/>
    <col collapsed="false" customWidth="true" hidden="false" outlineLevel="0" max="648" min="648" style="1" width="22.14"/>
    <col collapsed="false" customWidth="true" hidden="false" outlineLevel="0" max="649" min="649" style="1" width="17.29"/>
    <col collapsed="false" customWidth="true" hidden="false" outlineLevel="0" max="650" min="650" style="1" width="28.3"/>
    <col collapsed="false" customWidth="true" hidden="false" outlineLevel="0" max="651" min="651" style="1" width="20.14"/>
    <col collapsed="false" customWidth="true" hidden="false" outlineLevel="0" max="652" min="652" style="1" width="20.3"/>
    <col collapsed="false" customWidth="true" hidden="false" outlineLevel="0" max="653" min="653" style="1" width="16.14"/>
    <col collapsed="false" customWidth="true" hidden="false" outlineLevel="0" max="654" min="654" style="1" width="11.71"/>
    <col collapsed="false" customWidth="true" hidden="false" outlineLevel="0" max="655" min="655" style="1" width="11.42"/>
    <col collapsed="false" customWidth="true" hidden="false" outlineLevel="0" max="656" min="656" style="1" width="6.71"/>
    <col collapsed="false" customWidth="true" hidden="false" outlineLevel="0" max="657" min="657" style="1" width="8.29"/>
    <col collapsed="false" customWidth="true" hidden="false" outlineLevel="0" max="658" min="658" style="1" width="31.43"/>
    <col collapsed="false" customWidth="true" hidden="false" outlineLevel="0" max="659" min="659" style="1" width="7.41"/>
    <col collapsed="false" customWidth="true" hidden="false" outlineLevel="0" max="660" min="660" style="1" width="6.71"/>
    <col collapsed="false" customWidth="true" hidden="false" outlineLevel="0" max="662" min="661" style="1" width="3.71"/>
    <col collapsed="false" customWidth="true" hidden="false" outlineLevel="0" max="901" min="663" style="1" width="8.71"/>
    <col collapsed="false" customWidth="true" hidden="false" outlineLevel="0" max="902" min="902" style="1" width="3.98"/>
    <col collapsed="false" customWidth="true" hidden="false" outlineLevel="0" max="903" min="903" style="1" width="1.42"/>
    <col collapsed="false" customWidth="true" hidden="false" outlineLevel="0" max="904" min="904" style="1" width="22.14"/>
    <col collapsed="false" customWidth="true" hidden="false" outlineLevel="0" max="905" min="905" style="1" width="17.29"/>
    <col collapsed="false" customWidth="true" hidden="false" outlineLevel="0" max="906" min="906" style="1" width="28.3"/>
    <col collapsed="false" customWidth="true" hidden="false" outlineLevel="0" max="907" min="907" style="1" width="20.14"/>
    <col collapsed="false" customWidth="true" hidden="false" outlineLevel="0" max="908" min="908" style="1" width="20.3"/>
    <col collapsed="false" customWidth="true" hidden="false" outlineLevel="0" max="909" min="909" style="1" width="16.14"/>
    <col collapsed="false" customWidth="true" hidden="false" outlineLevel="0" max="910" min="910" style="1" width="11.71"/>
    <col collapsed="false" customWidth="true" hidden="false" outlineLevel="0" max="911" min="911" style="1" width="11.42"/>
    <col collapsed="false" customWidth="true" hidden="false" outlineLevel="0" max="912" min="912" style="1" width="6.71"/>
    <col collapsed="false" customWidth="true" hidden="false" outlineLevel="0" max="913" min="913" style="1" width="8.29"/>
    <col collapsed="false" customWidth="true" hidden="false" outlineLevel="0" max="914" min="914" style="1" width="31.43"/>
    <col collapsed="false" customWidth="true" hidden="false" outlineLevel="0" max="915" min="915" style="1" width="7.41"/>
    <col collapsed="false" customWidth="true" hidden="false" outlineLevel="0" max="916" min="916" style="1" width="6.71"/>
    <col collapsed="false" customWidth="true" hidden="false" outlineLevel="0" max="918" min="917" style="1" width="3.71"/>
    <col collapsed="false" customWidth="true" hidden="false" outlineLevel="0" max="1025" min="919" style="1" width="8.71"/>
  </cols>
  <sheetData>
    <row r="1" customFormat="false" ht="15.75" hidden="false" customHeight="false" outlineLevel="0" collapsed="false">
      <c r="K1" s="8"/>
      <c r="L1" s="9" t="s">
        <v>0</v>
      </c>
      <c r="M1" s="10" t="s">
        <v>0</v>
      </c>
    </row>
    <row r="2" s="11" customFormat="true" ht="26.25" hidden="false" customHeight="false" outlineLevel="0" collapsed="false">
      <c r="B2" s="12" t="s">
        <v>1</v>
      </c>
      <c r="C2" s="12"/>
      <c r="D2" s="12"/>
      <c r="E2" s="12"/>
      <c r="F2" s="12"/>
      <c r="G2" s="12"/>
      <c r="H2" s="12"/>
      <c r="K2" s="13"/>
      <c r="Q2" s="13"/>
    </row>
    <row r="3" s="14" customFormat="true" ht="15.75" hidden="false" customHeight="false" outlineLevel="0" collapsed="false">
      <c r="C3" s="2"/>
      <c r="D3" s="15" t="s">
        <v>2</v>
      </c>
      <c r="E3" s="15"/>
      <c r="F3" s="16" t="s">
        <v>3</v>
      </c>
      <c r="G3" s="17" t="s">
        <v>4</v>
      </c>
      <c r="H3" s="8"/>
      <c r="K3" s="8"/>
      <c r="L3" s="18"/>
      <c r="M3" s="19"/>
      <c r="N3" s="8"/>
      <c r="Q3" s="20"/>
    </row>
    <row r="4" s="14" customFormat="true" ht="18" hidden="false" customHeight="false" outlineLevel="0" collapsed="false">
      <c r="C4" s="2"/>
      <c r="D4" s="21" t="s">
        <v>5</v>
      </c>
      <c r="E4" s="22" t="s">
        <v>6</v>
      </c>
      <c r="F4" s="23" t="n">
        <v>5383</v>
      </c>
      <c r="G4" s="24" t="n">
        <v>617877</v>
      </c>
      <c r="H4" s="8" t="s">
        <v>7</v>
      </c>
      <c r="I4" s="14" t="s">
        <v>8</v>
      </c>
      <c r="K4" s="8"/>
      <c r="L4" s="25" t="n">
        <f aca="false">G4/F4</f>
        <v>114.783020620472</v>
      </c>
      <c r="M4" s="19"/>
      <c r="N4" s="8"/>
      <c r="Q4" s="20"/>
    </row>
    <row r="5" s="14" customFormat="true" ht="15.75" hidden="false" customHeight="false" outlineLevel="0" collapsed="false">
      <c r="C5" s="2"/>
      <c r="D5" s="26" t="s">
        <v>9</v>
      </c>
      <c r="E5" s="22"/>
      <c r="F5" s="23"/>
      <c r="G5" s="24"/>
      <c r="H5" s="8"/>
      <c r="I5" s="14" t="s">
        <v>10</v>
      </c>
      <c r="K5" s="8"/>
      <c r="L5" s="18"/>
      <c r="M5" s="19"/>
      <c r="N5" s="8"/>
      <c r="Q5" s="20"/>
    </row>
    <row r="6" s="14" customFormat="true" ht="15.75" hidden="false" customHeight="false" outlineLevel="0" collapsed="false">
      <c r="C6" s="2"/>
      <c r="E6" s="22"/>
      <c r="F6" s="27"/>
      <c r="G6" s="24"/>
      <c r="I6" s="14" t="s">
        <v>11</v>
      </c>
      <c r="K6" s="8"/>
      <c r="L6" s="18"/>
      <c r="M6" s="19"/>
      <c r="N6" s="8"/>
      <c r="Q6" s="20"/>
    </row>
    <row r="7" s="14" customFormat="true" ht="15.75" hidden="false" customHeight="false" outlineLevel="0" collapsed="false">
      <c r="C7" s="2"/>
      <c r="E7" s="22"/>
      <c r="F7" s="27"/>
      <c r="G7" s="24"/>
      <c r="I7" s="14" t="s">
        <v>12</v>
      </c>
      <c r="K7" s="8"/>
      <c r="L7" s="18"/>
      <c r="M7" s="19"/>
      <c r="N7" s="8"/>
      <c r="Q7" s="20"/>
    </row>
    <row r="8" s="14" customFormat="true" ht="15.75" hidden="false" customHeight="false" outlineLevel="0" collapsed="false">
      <c r="C8" s="2"/>
      <c r="E8" s="22"/>
      <c r="F8" s="27"/>
      <c r="G8" s="24"/>
      <c r="K8" s="8"/>
      <c r="L8" s="18"/>
      <c r="M8" s="19"/>
      <c r="N8" s="8"/>
      <c r="Q8" s="20"/>
    </row>
    <row r="9" s="14" customFormat="true" ht="18" hidden="false" customHeight="false" outlineLevel="0" collapsed="false">
      <c r="C9" s="2"/>
      <c r="D9" s="21" t="s">
        <v>13</v>
      </c>
      <c r="E9" s="22" t="s">
        <v>14</v>
      </c>
      <c r="F9" s="23" t="n">
        <v>3686</v>
      </c>
      <c r="G9" s="24" t="n">
        <v>466765</v>
      </c>
      <c r="H9" s="8" t="s">
        <v>7</v>
      </c>
      <c r="I9" s="14" t="s">
        <v>15</v>
      </c>
      <c r="K9" s="8"/>
      <c r="L9" s="25" t="n">
        <f aca="false">G9/F9</f>
        <v>126.631850244167</v>
      </c>
      <c r="M9" s="19"/>
      <c r="N9" s="8"/>
      <c r="Q9" s="20"/>
    </row>
    <row r="10" s="14" customFormat="true" ht="15.75" hidden="false" customHeight="false" outlineLevel="0" collapsed="false">
      <c r="C10" s="2"/>
      <c r="D10" s="14" t="s">
        <v>16</v>
      </c>
      <c r="E10" s="22"/>
      <c r="F10" s="23"/>
      <c r="G10" s="24"/>
      <c r="H10" s="8"/>
      <c r="I10" s="14" t="s">
        <v>10</v>
      </c>
      <c r="K10" s="8"/>
      <c r="L10" s="18"/>
      <c r="M10" s="19"/>
      <c r="N10" s="8"/>
      <c r="Q10" s="20"/>
    </row>
    <row r="11" s="14" customFormat="true" ht="15.75" hidden="false" customHeight="false" outlineLevel="0" collapsed="false">
      <c r="C11" s="2"/>
      <c r="E11" s="22"/>
      <c r="F11" s="8"/>
      <c r="G11" s="24"/>
      <c r="H11" s="8"/>
      <c r="I11" s="14" t="s">
        <v>17</v>
      </c>
      <c r="K11" s="8"/>
      <c r="L11" s="18"/>
      <c r="M11" s="19"/>
      <c r="N11" s="8"/>
      <c r="Q11" s="20"/>
    </row>
    <row r="12" s="14" customFormat="true" ht="15.75" hidden="false" customHeight="false" outlineLevel="0" collapsed="false">
      <c r="C12" s="2"/>
      <c r="E12" s="22"/>
      <c r="F12" s="8"/>
      <c r="G12" s="24"/>
      <c r="H12" s="8"/>
      <c r="I12" s="14" t="s">
        <v>18</v>
      </c>
      <c r="K12" s="8"/>
      <c r="L12" s="18"/>
      <c r="M12" s="19"/>
      <c r="N12" s="8"/>
      <c r="Q12" s="20"/>
    </row>
    <row r="13" s="14" customFormat="true" ht="15.75" hidden="false" customHeight="false" outlineLevel="0" collapsed="false">
      <c r="C13" s="2"/>
      <c r="E13" s="22"/>
      <c r="F13" s="8"/>
      <c r="G13" s="24"/>
      <c r="H13" s="8"/>
      <c r="K13" s="8"/>
      <c r="L13" s="18"/>
      <c r="M13" s="19"/>
      <c r="N13" s="8"/>
      <c r="Q13" s="20"/>
    </row>
    <row r="14" s="14" customFormat="true" ht="18" hidden="false" customHeight="false" outlineLevel="0" collapsed="false">
      <c r="C14" s="2"/>
      <c r="D14" s="21" t="s">
        <v>19</v>
      </c>
      <c r="E14" s="22" t="s">
        <v>20</v>
      </c>
      <c r="F14" s="23" t="n">
        <v>7219</v>
      </c>
      <c r="G14" s="24" t="n">
        <v>1061656</v>
      </c>
      <c r="H14" s="8" t="s">
        <v>7</v>
      </c>
      <c r="I14" s="14" t="s">
        <v>21</v>
      </c>
      <c r="K14" s="8"/>
      <c r="L14" s="25" t="n">
        <f aca="false">G14/F14</f>
        <v>147.064136306968</v>
      </c>
      <c r="M14" s="10"/>
      <c r="N14" s="8"/>
      <c r="Q14" s="20"/>
    </row>
    <row r="15" s="14" customFormat="true" ht="15.75" hidden="false" customHeight="false" outlineLevel="0" collapsed="false">
      <c r="C15" s="2"/>
      <c r="D15" s="14" t="s">
        <v>22</v>
      </c>
      <c r="E15" s="22"/>
      <c r="F15" s="23"/>
      <c r="G15" s="24"/>
      <c r="H15" s="8"/>
      <c r="I15" s="14" t="s">
        <v>23</v>
      </c>
      <c r="K15" s="8"/>
      <c r="L15" s="9"/>
      <c r="M15" s="10"/>
      <c r="N15" s="8"/>
      <c r="Q15" s="20"/>
    </row>
    <row r="16" s="14" customFormat="true" ht="15.75" hidden="false" customHeight="false" outlineLevel="0" collapsed="false">
      <c r="C16" s="2"/>
      <c r="E16" s="22"/>
      <c r="F16" s="23"/>
      <c r="G16" s="24"/>
      <c r="H16" s="8"/>
      <c r="I16" s="14" t="s">
        <v>24</v>
      </c>
      <c r="K16" s="8"/>
      <c r="L16" s="9"/>
      <c r="M16" s="10"/>
      <c r="N16" s="8"/>
      <c r="Q16" s="20"/>
    </row>
    <row r="17" s="14" customFormat="true" ht="15.75" hidden="false" customHeight="false" outlineLevel="0" collapsed="false">
      <c r="C17" s="2"/>
      <c r="E17" s="22"/>
      <c r="F17" s="23"/>
      <c r="G17" s="24"/>
      <c r="H17" s="8"/>
      <c r="I17" s="26" t="s">
        <v>25</v>
      </c>
      <c r="K17" s="8"/>
      <c r="L17" s="9"/>
      <c r="M17" s="10"/>
      <c r="N17" s="8"/>
      <c r="Q17" s="20"/>
    </row>
    <row r="18" s="14" customFormat="true" ht="15.75" hidden="false" customHeight="false" outlineLevel="0" collapsed="false">
      <c r="C18" s="2"/>
      <c r="E18" s="22"/>
      <c r="F18" s="23"/>
      <c r="G18" s="24"/>
      <c r="H18" s="8"/>
      <c r="I18" s="26"/>
      <c r="K18" s="8"/>
      <c r="L18" s="9"/>
      <c r="M18" s="10"/>
      <c r="N18" s="8"/>
      <c r="Q18" s="20"/>
    </row>
    <row r="19" s="14" customFormat="true" ht="18" hidden="false" customHeight="false" outlineLevel="0" collapsed="false">
      <c r="C19" s="2"/>
      <c r="D19" s="21" t="s">
        <v>26</v>
      </c>
      <c r="E19" s="22" t="s">
        <v>27</v>
      </c>
      <c r="F19" s="23" t="n">
        <v>3737</v>
      </c>
      <c r="G19" s="24" t="n">
        <v>493534</v>
      </c>
      <c r="H19" s="8" t="s">
        <v>28</v>
      </c>
      <c r="I19" s="14" t="s">
        <v>15</v>
      </c>
      <c r="K19" s="8"/>
      <c r="L19" s="25" t="n">
        <f aca="false">G19/F19</f>
        <v>132.06689858175</v>
      </c>
      <c r="M19" s="10"/>
      <c r="N19" s="8"/>
      <c r="Q19" s="20"/>
    </row>
    <row r="20" s="14" customFormat="true" ht="15.75" hidden="false" customHeight="false" outlineLevel="0" collapsed="false">
      <c r="C20" s="2"/>
      <c r="D20" s="14" t="s">
        <v>29</v>
      </c>
      <c r="E20" s="22"/>
      <c r="F20" s="23"/>
      <c r="G20" s="24"/>
      <c r="H20" s="8"/>
      <c r="I20" s="14" t="s">
        <v>10</v>
      </c>
      <c r="K20" s="8"/>
      <c r="L20" s="9"/>
      <c r="M20" s="10"/>
      <c r="N20" s="8"/>
      <c r="Q20" s="20"/>
    </row>
    <row r="21" s="14" customFormat="true" ht="15.75" hidden="false" customHeight="false" outlineLevel="0" collapsed="false">
      <c r="C21" s="2"/>
      <c r="E21" s="22"/>
      <c r="F21" s="23"/>
      <c r="G21" s="24"/>
      <c r="H21" s="8"/>
      <c r="I21" s="14" t="s">
        <v>30</v>
      </c>
      <c r="K21" s="8"/>
      <c r="L21" s="9"/>
      <c r="M21" s="10"/>
      <c r="N21" s="8"/>
      <c r="Q21" s="20"/>
    </row>
    <row r="22" s="14" customFormat="true" ht="15.75" hidden="false" customHeight="false" outlineLevel="0" collapsed="false">
      <c r="C22" s="2"/>
      <c r="E22" s="22"/>
      <c r="F22" s="23"/>
      <c r="G22" s="24"/>
      <c r="H22" s="8"/>
      <c r="I22" s="26" t="s">
        <v>31</v>
      </c>
      <c r="K22" s="8"/>
      <c r="L22" s="9"/>
      <c r="M22" s="10"/>
      <c r="N22" s="8"/>
      <c r="Q22" s="20"/>
    </row>
    <row r="23" s="14" customFormat="true" ht="15.75" hidden="false" customHeight="false" outlineLevel="0" collapsed="false">
      <c r="C23" s="2"/>
      <c r="E23" s="22"/>
      <c r="F23" s="23"/>
      <c r="G23" s="24"/>
      <c r="H23" s="8"/>
      <c r="K23" s="8"/>
      <c r="L23" s="9"/>
      <c r="M23" s="10"/>
      <c r="N23" s="8"/>
      <c r="Q23" s="20"/>
    </row>
    <row r="24" s="14" customFormat="true" ht="18" hidden="false" customHeight="false" outlineLevel="0" collapsed="false">
      <c r="C24" s="2"/>
      <c r="D24" s="21" t="s">
        <v>32</v>
      </c>
      <c r="E24" s="22" t="s">
        <v>33</v>
      </c>
      <c r="F24" s="23" t="n">
        <v>5895</v>
      </c>
      <c r="G24" s="24" t="n">
        <v>748989</v>
      </c>
      <c r="H24" s="8" t="s">
        <v>28</v>
      </c>
      <c r="I24" s="14" t="s">
        <v>15</v>
      </c>
      <c r="K24" s="8"/>
      <c r="L24" s="25" t="n">
        <f aca="false">G24/F24</f>
        <v>127.054961832061</v>
      </c>
      <c r="M24" s="10"/>
      <c r="N24" s="8"/>
      <c r="Q24" s="20"/>
    </row>
    <row r="25" s="14" customFormat="true" ht="15.75" hidden="false" customHeight="false" outlineLevel="0" collapsed="false">
      <c r="C25" s="2"/>
      <c r="D25" s="14" t="s">
        <v>34</v>
      </c>
      <c r="E25" s="22"/>
      <c r="F25" s="23"/>
      <c r="G25" s="24"/>
      <c r="H25" s="8"/>
      <c r="I25" s="14" t="s">
        <v>35</v>
      </c>
      <c r="K25" s="8"/>
      <c r="L25" s="9"/>
      <c r="M25" s="10"/>
      <c r="N25" s="8"/>
      <c r="Q25" s="20"/>
    </row>
    <row r="26" s="14" customFormat="true" ht="15.75" hidden="false" customHeight="false" outlineLevel="0" collapsed="false">
      <c r="C26" s="2"/>
      <c r="E26" s="22"/>
      <c r="F26" s="23"/>
      <c r="G26" s="24"/>
      <c r="H26" s="8"/>
      <c r="I26" s="14" t="s">
        <v>36</v>
      </c>
      <c r="K26" s="8"/>
      <c r="L26" s="9"/>
      <c r="M26" s="10"/>
      <c r="N26" s="8"/>
      <c r="Q26" s="20"/>
    </row>
    <row r="27" s="14" customFormat="true" ht="15.75" hidden="false" customHeight="false" outlineLevel="0" collapsed="false">
      <c r="C27" s="2"/>
      <c r="E27" s="22"/>
      <c r="F27" s="23"/>
      <c r="G27" s="24"/>
      <c r="H27" s="8"/>
      <c r="I27" s="14" t="s">
        <v>37</v>
      </c>
      <c r="K27" s="8"/>
      <c r="L27" s="9"/>
      <c r="M27" s="10"/>
      <c r="N27" s="8"/>
      <c r="Q27" s="20"/>
    </row>
    <row r="28" s="14" customFormat="true" ht="15.75" hidden="false" customHeight="false" outlineLevel="0" collapsed="false">
      <c r="C28" s="2"/>
      <c r="E28" s="22"/>
      <c r="F28" s="23"/>
      <c r="G28" s="24"/>
      <c r="H28" s="8"/>
      <c r="K28" s="8"/>
      <c r="L28" s="9"/>
      <c r="M28" s="10"/>
      <c r="N28" s="8"/>
      <c r="Q28" s="20"/>
    </row>
    <row r="29" s="28" customFormat="true" ht="18" hidden="false" customHeight="false" outlineLevel="0" collapsed="false">
      <c r="B29" s="29" t="s">
        <v>38</v>
      </c>
      <c r="C29" s="29"/>
      <c r="D29" s="29"/>
      <c r="E29" s="29"/>
      <c r="F29" s="29"/>
      <c r="G29" s="29"/>
      <c r="H29" s="29"/>
      <c r="K29" s="30"/>
      <c r="Q29" s="30"/>
    </row>
    <row r="30" s="14" customFormat="true" ht="15.75" hidden="false" customHeight="false" outlineLevel="0" collapsed="false">
      <c r="C30" s="2"/>
      <c r="D30" s="14" t="s">
        <v>39</v>
      </c>
      <c r="E30" s="8" t="s">
        <v>40</v>
      </c>
      <c r="F30" s="31" t="s">
        <v>41</v>
      </c>
      <c r="G30" s="32" t="n">
        <v>165000</v>
      </c>
      <c r="H30" s="8" t="s">
        <v>0</v>
      </c>
      <c r="K30" s="8"/>
      <c r="L30" s="9"/>
      <c r="M30" s="10"/>
      <c r="N30" s="8"/>
      <c r="Q30" s="20"/>
    </row>
    <row r="31" s="14" customFormat="true" ht="15.75" hidden="false" customHeight="false" outlineLevel="0" collapsed="false">
      <c r="C31" s="2"/>
      <c r="E31" s="8"/>
      <c r="F31" s="31"/>
      <c r="G31" s="32"/>
      <c r="H31" s="8"/>
      <c r="K31" s="8"/>
      <c r="L31" s="9"/>
      <c r="M31" s="10" t="s">
        <v>0</v>
      </c>
      <c r="N31" s="8"/>
      <c r="Q31" s="20"/>
    </row>
    <row r="32" s="14" customFormat="true" ht="15.75" hidden="false" customHeight="false" outlineLevel="0" collapsed="false">
      <c r="C32" s="2"/>
      <c r="D32" s="14" t="s">
        <v>42</v>
      </c>
      <c r="E32" s="33" t="s">
        <v>43</v>
      </c>
      <c r="F32" s="31"/>
      <c r="G32" s="32" t="n">
        <v>165000</v>
      </c>
      <c r="H32" s="8" t="s">
        <v>44</v>
      </c>
      <c r="K32" s="8"/>
      <c r="L32" s="9"/>
      <c r="M32" s="34" t="s">
        <v>0</v>
      </c>
      <c r="N32" s="8"/>
      <c r="Q32" s="20"/>
    </row>
    <row r="33" s="14" customFormat="true" ht="15.75" hidden="false" customHeight="false" outlineLevel="0" collapsed="false">
      <c r="C33" s="2"/>
      <c r="E33" s="33"/>
      <c r="F33" s="31"/>
      <c r="G33" s="32"/>
      <c r="H33" s="8" t="s">
        <v>45</v>
      </c>
      <c r="K33" s="8"/>
      <c r="L33" s="9"/>
      <c r="M33" s="10"/>
      <c r="N33" s="8"/>
      <c r="Q33" s="20"/>
    </row>
    <row r="34" s="14" customFormat="true" ht="15.75" hidden="false" customHeight="false" outlineLevel="0" collapsed="false">
      <c r="C34" s="2"/>
      <c r="E34" s="33"/>
      <c r="F34" s="35"/>
      <c r="H34" s="8"/>
      <c r="K34" s="8"/>
      <c r="L34" s="9"/>
      <c r="M34" s="10"/>
      <c r="N34" s="8"/>
      <c r="Q34" s="20"/>
    </row>
    <row r="35" s="14" customFormat="true" ht="15.75" hidden="false" customHeight="false" outlineLevel="0" collapsed="false">
      <c r="C35" s="2"/>
      <c r="D35" s="14" t="s">
        <v>46</v>
      </c>
      <c r="E35" s="33" t="s">
        <v>47</v>
      </c>
      <c r="F35" s="35" t="s">
        <v>48</v>
      </c>
      <c r="G35" s="36" t="n">
        <v>125000</v>
      </c>
      <c r="H35" s="37" t="s">
        <v>49</v>
      </c>
      <c r="K35" s="8"/>
      <c r="L35" s="9"/>
      <c r="M35" s="10"/>
      <c r="N35" s="8"/>
      <c r="Q35" s="20"/>
    </row>
    <row r="36" s="14" customFormat="true" ht="15.75" hidden="false" customHeight="false" outlineLevel="0" collapsed="false">
      <c r="C36" s="2"/>
      <c r="E36" s="33"/>
      <c r="F36" s="35"/>
      <c r="G36" s="38"/>
      <c r="H36" s="8"/>
      <c r="K36" s="8"/>
      <c r="L36" s="9"/>
      <c r="M36" s="10"/>
      <c r="N36" s="8"/>
      <c r="Q36" s="20"/>
    </row>
    <row r="37" s="14" customFormat="true" ht="15.75" hidden="false" customHeight="false" outlineLevel="0" collapsed="false">
      <c r="C37" s="2"/>
      <c r="E37" s="33"/>
      <c r="F37" s="35"/>
      <c r="G37" s="38"/>
      <c r="H37" s="8"/>
      <c r="K37" s="8"/>
      <c r="L37" s="9"/>
      <c r="M37" s="10"/>
      <c r="N37" s="8"/>
      <c r="Q37" s="20"/>
    </row>
    <row r="38" s="14" customFormat="true" ht="15.75" hidden="false" customHeight="false" outlineLevel="0" collapsed="false">
      <c r="C38" s="2"/>
      <c r="D38" s="14" t="s">
        <v>50</v>
      </c>
      <c r="E38" s="33" t="s">
        <v>51</v>
      </c>
      <c r="F38" s="35" t="s">
        <v>48</v>
      </c>
      <c r="G38" s="36" t="n">
        <v>125000</v>
      </c>
      <c r="H38" s="8"/>
      <c r="K38" s="8"/>
      <c r="L38" s="9"/>
      <c r="M38" s="10"/>
      <c r="N38" s="8"/>
      <c r="Q38" s="20"/>
    </row>
    <row r="39" s="14" customFormat="true" ht="15.75" hidden="false" customHeight="false" outlineLevel="0" collapsed="false">
      <c r="C39" s="2"/>
      <c r="E39" s="33"/>
      <c r="F39" s="35"/>
      <c r="G39" s="38"/>
      <c r="H39" s="8"/>
      <c r="K39" s="8"/>
      <c r="L39" s="9"/>
      <c r="M39" s="10"/>
      <c r="N39" s="8"/>
      <c r="Q39" s="20"/>
    </row>
    <row r="40" s="14" customFormat="true" ht="15.75" hidden="false" customHeight="false" outlineLevel="0" collapsed="false">
      <c r="C40" s="2"/>
      <c r="D40" s="14" t="s">
        <v>39</v>
      </c>
      <c r="E40" s="33"/>
      <c r="F40" s="31" t="s">
        <v>52</v>
      </c>
      <c r="G40" s="39" t="n">
        <v>239500</v>
      </c>
      <c r="H40" s="8"/>
      <c r="K40" s="8"/>
      <c r="L40" s="9"/>
      <c r="M40" s="10"/>
      <c r="N40" s="8"/>
      <c r="Q40" s="20"/>
    </row>
    <row r="41" customFormat="false" ht="15.75" hidden="false" customHeight="false" outlineLevel="0" collapsed="false">
      <c r="A41" s="14"/>
      <c r="D41" s="14"/>
      <c r="E41" s="8"/>
      <c r="F41" s="26"/>
      <c r="G41" s="40"/>
      <c r="H41" s="41"/>
      <c r="I41" s="41"/>
      <c r="J41" s="41"/>
      <c r="K41" s="20"/>
      <c r="L41" s="41"/>
      <c r="M41" s="38"/>
      <c r="N41" s="41"/>
      <c r="O41" s="41"/>
    </row>
    <row r="42" s="46" customFormat="true" ht="18" hidden="false" customHeight="false" outlineLevel="0" collapsed="false">
      <c r="A42" s="42"/>
      <c r="B42" s="43" t="s">
        <v>53</v>
      </c>
      <c r="C42" s="44"/>
      <c r="D42" s="43"/>
      <c r="E42" s="43"/>
      <c r="F42" s="43"/>
      <c r="G42" s="43"/>
      <c r="H42" s="43"/>
      <c r="I42" s="43"/>
      <c r="J42" s="43"/>
      <c r="K42" s="45"/>
      <c r="L42" s="43"/>
      <c r="M42" s="43"/>
      <c r="N42" s="43"/>
      <c r="O42" s="43"/>
      <c r="P42" s="43"/>
      <c r="Q42" s="45"/>
      <c r="R42" s="43"/>
    </row>
    <row r="43" s="42" customFormat="true" ht="15" hidden="false" customHeight="false" outlineLevel="0" collapsed="false">
      <c r="B43" s="47"/>
      <c r="D43" s="48"/>
      <c r="E43" s="48"/>
      <c r="F43" s="49"/>
      <c r="G43" s="50"/>
      <c r="H43" s="51"/>
      <c r="I43" s="52"/>
      <c r="J43" s="53"/>
      <c r="K43" s="48"/>
      <c r="L43" s="54"/>
      <c r="M43" s="55"/>
      <c r="N43" s="51"/>
      <c r="O43" s="51"/>
      <c r="Q43" s="47"/>
    </row>
    <row r="44" s="42" customFormat="true" ht="18" hidden="false" customHeight="false" outlineLevel="0" collapsed="false">
      <c r="A44" s="42" t="s">
        <v>54</v>
      </c>
      <c r="B44" s="47"/>
      <c r="D44" s="21" t="s">
        <v>55</v>
      </c>
      <c r="E44" s="56" t="s">
        <v>56</v>
      </c>
      <c r="F44" s="23" t="n">
        <v>3325</v>
      </c>
      <c r="G44" s="24" t="n">
        <v>560000</v>
      </c>
      <c r="H44" s="57" t="s">
        <v>57</v>
      </c>
      <c r="I44" s="14" t="s">
        <v>15</v>
      </c>
      <c r="J44" s="53" t="s">
        <v>58</v>
      </c>
      <c r="K44" s="53"/>
      <c r="L44" s="54"/>
      <c r="M44" s="55"/>
      <c r="N44" s="51"/>
      <c r="O44" s="51"/>
      <c r="Q44" s="47"/>
    </row>
    <row r="45" s="42" customFormat="true" ht="15.75" hidden="false" customHeight="false" outlineLevel="0" collapsed="false">
      <c r="A45" s="14"/>
      <c r="B45" s="47"/>
      <c r="D45" s="26" t="s">
        <v>59</v>
      </c>
      <c r="E45" s="56"/>
      <c r="G45" s="24"/>
      <c r="I45" s="52"/>
      <c r="J45" s="53"/>
      <c r="K45" s="48"/>
      <c r="L45" s="54"/>
      <c r="M45" s="55"/>
      <c r="N45" s="51"/>
      <c r="O45" s="51"/>
      <c r="Q45" s="47"/>
    </row>
    <row r="46" s="42" customFormat="true" ht="15.75" hidden="false" customHeight="false" outlineLevel="0" collapsed="false">
      <c r="B46" s="47"/>
      <c r="D46" s="26"/>
      <c r="E46" s="56"/>
      <c r="G46" s="24"/>
      <c r="H46" s="58"/>
      <c r="I46" s="52"/>
      <c r="J46" s="53"/>
      <c r="K46" s="48"/>
      <c r="L46" s="54"/>
      <c r="M46" s="55"/>
      <c r="N46" s="51"/>
      <c r="O46" s="51"/>
      <c r="Q46" s="47"/>
    </row>
    <row r="47" s="14" customFormat="true" ht="18" hidden="false" customHeight="false" outlineLevel="0" collapsed="false">
      <c r="A47" s="42" t="s">
        <v>60</v>
      </c>
      <c r="C47" s="2"/>
      <c r="D47" s="21" t="s">
        <v>55</v>
      </c>
      <c r="E47" s="22" t="s">
        <v>61</v>
      </c>
      <c r="F47" s="23" t="n">
        <v>3098</v>
      </c>
      <c r="G47" s="24" t="n">
        <v>480000</v>
      </c>
      <c r="H47" s="8" t="s">
        <v>57</v>
      </c>
      <c r="I47" s="14" t="s">
        <v>15</v>
      </c>
      <c r="J47" s="53" t="s">
        <v>62</v>
      </c>
      <c r="K47" s="8"/>
      <c r="L47" s="18"/>
      <c r="M47" s="19"/>
      <c r="N47" s="8"/>
      <c r="Q47" s="20"/>
    </row>
    <row r="48" s="42" customFormat="true" ht="15" hidden="false" customHeight="true" outlineLevel="0" collapsed="false">
      <c r="B48" s="47"/>
      <c r="D48" s="14" t="s">
        <v>63</v>
      </c>
      <c r="E48" s="8"/>
      <c r="F48" s="31"/>
      <c r="G48" s="24"/>
      <c r="H48" s="51"/>
      <c r="I48" s="52"/>
      <c r="J48" s="53"/>
      <c r="K48" s="48"/>
      <c r="L48" s="54"/>
      <c r="M48" s="55"/>
      <c r="N48" s="51"/>
      <c r="O48" s="51"/>
      <c r="Q48" s="47"/>
    </row>
    <row r="49" s="42" customFormat="true" ht="15" hidden="false" customHeight="true" outlineLevel="0" collapsed="false">
      <c r="B49" s="47"/>
      <c r="D49" s="14"/>
      <c r="E49" s="8"/>
      <c r="F49" s="31"/>
      <c r="G49" s="24"/>
      <c r="H49" s="51"/>
      <c r="I49" s="52"/>
      <c r="J49" s="53"/>
      <c r="K49" s="48"/>
      <c r="L49" s="54"/>
      <c r="M49" s="55"/>
      <c r="N49" s="51"/>
      <c r="O49" s="51"/>
      <c r="Q49" s="47"/>
    </row>
    <row r="50" s="42" customFormat="true" ht="20.25" hidden="false" customHeight="true" outlineLevel="0" collapsed="false">
      <c r="A50" s="42" t="s">
        <v>64</v>
      </c>
      <c r="B50" s="47"/>
      <c r="D50" s="21" t="s">
        <v>55</v>
      </c>
      <c r="E50" s="22" t="s">
        <v>65</v>
      </c>
      <c r="F50" s="23" t="n">
        <v>3786</v>
      </c>
      <c r="G50" s="24" t="n">
        <v>598000</v>
      </c>
      <c r="H50" s="57" t="s">
        <v>57</v>
      </c>
      <c r="I50" s="59" t="s">
        <v>66</v>
      </c>
      <c r="J50" s="53"/>
      <c r="K50" s="48"/>
      <c r="L50" s="54"/>
      <c r="M50" s="55"/>
      <c r="N50" s="51"/>
      <c r="O50" s="51"/>
      <c r="Q50" s="47"/>
    </row>
    <row r="51" s="42" customFormat="true" ht="15" hidden="false" customHeight="true" outlineLevel="0" collapsed="false">
      <c r="B51" s="47"/>
      <c r="D51" s="14" t="s">
        <v>67</v>
      </c>
      <c r="E51" s="8"/>
      <c r="F51" s="31"/>
      <c r="G51" s="24"/>
      <c r="H51" s="51"/>
      <c r="I51" s="52"/>
      <c r="J51" s="53"/>
      <c r="K51" s="48"/>
      <c r="L51" s="54"/>
      <c r="M51" s="55"/>
      <c r="N51" s="51"/>
      <c r="O51" s="51"/>
      <c r="Q51" s="47"/>
    </row>
    <row r="52" s="42" customFormat="true" ht="15" hidden="false" customHeight="true" outlineLevel="0" collapsed="false">
      <c r="B52" s="47"/>
      <c r="D52" s="14"/>
      <c r="E52" s="8"/>
      <c r="F52" s="31"/>
      <c r="G52" s="24"/>
      <c r="H52" s="51"/>
      <c r="I52" s="52"/>
      <c r="J52" s="53"/>
      <c r="K52" s="48"/>
      <c r="L52" s="54"/>
      <c r="M52" s="55"/>
      <c r="N52" s="51"/>
      <c r="O52" s="51"/>
      <c r="Q52" s="47"/>
    </row>
    <row r="53" s="42" customFormat="true" ht="15" hidden="false" customHeight="true" outlineLevel="0" collapsed="false">
      <c r="A53" s="42" t="s">
        <v>68</v>
      </c>
      <c r="B53" s="47"/>
      <c r="D53" s="21" t="s">
        <v>55</v>
      </c>
      <c r="E53" s="22" t="s">
        <v>69</v>
      </c>
      <c r="F53" s="23" t="n">
        <v>3997</v>
      </c>
      <c r="G53" s="60"/>
      <c r="H53" s="61"/>
      <c r="I53" s="62"/>
      <c r="J53" s="53" t="s">
        <v>70</v>
      </c>
      <c r="K53" s="48"/>
      <c r="L53" s="54"/>
      <c r="M53" s="38" t="s">
        <v>71</v>
      </c>
      <c r="N53" s="51"/>
      <c r="O53" s="51"/>
      <c r="Q53" s="47"/>
    </row>
    <row r="54" s="42" customFormat="true" ht="15" hidden="false" customHeight="true" outlineLevel="0" collapsed="false">
      <c r="B54" s="47"/>
      <c r="D54" s="14" t="s">
        <v>70</v>
      </c>
      <c r="E54" s="8"/>
      <c r="F54" s="23"/>
      <c r="G54" s="24"/>
      <c r="H54" s="51"/>
      <c r="I54" s="52"/>
      <c r="J54" s="53"/>
      <c r="K54" s="48"/>
      <c r="L54" s="54"/>
      <c r="M54" s="55"/>
      <c r="N54" s="51"/>
      <c r="O54" s="51"/>
      <c r="Q54" s="47"/>
    </row>
    <row r="55" s="42" customFormat="true" ht="15" hidden="false" customHeight="true" outlineLevel="0" collapsed="false">
      <c r="B55" s="47"/>
      <c r="D55" s="14"/>
      <c r="E55" s="8"/>
      <c r="F55" s="23"/>
      <c r="G55" s="24"/>
      <c r="H55" s="51"/>
      <c r="I55" s="52"/>
      <c r="J55" s="53"/>
      <c r="K55" s="48"/>
      <c r="L55" s="54"/>
      <c r="M55" s="55"/>
      <c r="N55" s="51"/>
      <c r="O55" s="51"/>
      <c r="Q55" s="47"/>
    </row>
    <row r="56" s="42" customFormat="true" ht="15" hidden="false" customHeight="true" outlineLevel="0" collapsed="false">
      <c r="A56" s="1" t="s">
        <v>72</v>
      </c>
      <c r="B56" s="47"/>
      <c r="D56" s="21" t="s">
        <v>55</v>
      </c>
      <c r="E56" s="22" t="s">
        <v>73</v>
      </c>
      <c r="F56" s="23" t="n">
        <v>1939</v>
      </c>
      <c r="G56" s="24" t="n">
        <v>350000</v>
      </c>
      <c r="H56" s="61"/>
      <c r="I56" s="62"/>
      <c r="J56" s="53" t="s">
        <v>74</v>
      </c>
      <c r="K56" s="48"/>
      <c r="L56" s="54"/>
      <c r="M56" s="55"/>
      <c r="N56" s="51"/>
      <c r="O56" s="51"/>
      <c r="Q56" s="47"/>
    </row>
    <row r="57" s="42" customFormat="true" ht="15" hidden="false" customHeight="true" outlineLevel="0" collapsed="false">
      <c r="B57" s="47"/>
      <c r="D57" s="14" t="s">
        <v>74</v>
      </c>
      <c r="E57" s="8"/>
      <c r="F57" s="31"/>
      <c r="G57" s="24"/>
      <c r="H57" s="51"/>
      <c r="I57" s="52"/>
      <c r="J57" s="53"/>
      <c r="K57" s="48"/>
      <c r="L57" s="54"/>
      <c r="M57" s="55"/>
      <c r="N57" s="51"/>
      <c r="O57" s="51"/>
      <c r="Q57" s="47"/>
    </row>
    <row r="58" s="42" customFormat="true" ht="15" hidden="false" customHeight="true" outlineLevel="0" collapsed="false">
      <c r="B58" s="47"/>
      <c r="D58" s="14"/>
      <c r="E58" s="8"/>
      <c r="F58" s="31"/>
      <c r="G58" s="24"/>
      <c r="H58" s="51"/>
      <c r="I58" s="52"/>
      <c r="J58" s="53"/>
      <c r="K58" s="48"/>
      <c r="L58" s="54"/>
      <c r="M58" s="55"/>
      <c r="N58" s="51"/>
      <c r="O58" s="51"/>
      <c r="Q58" s="47"/>
    </row>
    <row r="59" s="63" customFormat="true" ht="18" hidden="false" customHeight="true" outlineLevel="0" collapsed="false">
      <c r="A59" s="42"/>
      <c r="B59" s="63" t="s">
        <v>75</v>
      </c>
      <c r="C59" s="64"/>
      <c r="Q59" s="65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</row>
    <row r="60" s="42" customFormat="true" ht="12.95" hidden="false" customHeight="true" outlineLevel="0" collapsed="false">
      <c r="B60" s="47"/>
      <c r="D60" s="67" t="s">
        <v>76</v>
      </c>
      <c r="E60" s="68" t="s">
        <v>77</v>
      </c>
      <c r="F60" s="69" t="s">
        <v>78</v>
      </c>
      <c r="G60" s="70" t="s">
        <v>79</v>
      </c>
      <c r="H60" s="71" t="s">
        <v>79</v>
      </c>
      <c r="I60" s="72" t="s">
        <v>80</v>
      </c>
      <c r="J60" s="73" t="s">
        <v>81</v>
      </c>
      <c r="K60" s="74" t="s">
        <v>82</v>
      </c>
      <c r="L60" s="75" t="s">
        <v>83</v>
      </c>
      <c r="M60" s="71" t="s">
        <v>84</v>
      </c>
      <c r="N60" s="74" t="s">
        <v>85</v>
      </c>
      <c r="O60" s="74" t="s">
        <v>86</v>
      </c>
      <c r="P60" s="76" t="s">
        <v>87</v>
      </c>
      <c r="Q60" s="77" t="s">
        <v>88</v>
      </c>
      <c r="R60" s="78" t="s">
        <v>89</v>
      </c>
    </row>
    <row r="61" s="42" customFormat="true" ht="12.95" hidden="false" customHeight="true" outlineLevel="0" collapsed="false">
      <c r="B61" s="47"/>
      <c r="D61" s="67"/>
      <c r="E61" s="68"/>
      <c r="F61" s="69"/>
      <c r="G61" s="70"/>
      <c r="H61" s="71"/>
      <c r="I61" s="52" t="s">
        <v>90</v>
      </c>
      <c r="J61" s="53" t="s">
        <v>91</v>
      </c>
      <c r="K61" s="48" t="s">
        <v>92</v>
      </c>
      <c r="L61" s="75"/>
      <c r="M61" s="71"/>
      <c r="N61" s="74"/>
      <c r="O61" s="51" t="s">
        <v>93</v>
      </c>
      <c r="P61" s="76"/>
      <c r="Q61" s="79"/>
      <c r="R61" s="51" t="s">
        <v>94</v>
      </c>
      <c r="S61" s="80"/>
    </row>
    <row r="62" customFormat="false" ht="15.75" hidden="false" customHeight="false" outlineLevel="0" collapsed="false">
      <c r="A62" s="42"/>
      <c r="B62" s="41"/>
      <c r="D62" s="81"/>
      <c r="E62" s="82"/>
      <c r="F62" s="82"/>
      <c r="G62" s="83"/>
      <c r="H62" s="8"/>
      <c r="I62" s="84"/>
      <c r="J62" s="85"/>
      <c r="K62" s="86"/>
      <c r="L62" s="87"/>
      <c r="M62" s="38"/>
      <c r="N62" s="88"/>
      <c r="O62" s="89"/>
      <c r="P62" s="90"/>
      <c r="Q62" s="91"/>
      <c r="R62" s="92"/>
    </row>
    <row r="63" customFormat="false" ht="15.75" hidden="false" customHeight="false" outlineLevel="0" collapsed="false">
      <c r="A63" s="42" t="s">
        <v>95</v>
      </c>
      <c r="B63" s="41" t="s">
        <v>96</v>
      </c>
      <c r="C63" s="2" t="s">
        <v>97</v>
      </c>
      <c r="D63" s="93" t="s">
        <v>98</v>
      </c>
      <c r="E63" s="8" t="s">
        <v>99</v>
      </c>
      <c r="F63" s="8" t="s">
        <v>100</v>
      </c>
      <c r="G63" s="40" t="s">
        <v>101</v>
      </c>
      <c r="H63" s="8" t="s">
        <v>102</v>
      </c>
      <c r="I63" s="94" t="s">
        <v>103</v>
      </c>
      <c r="J63" s="95" t="n">
        <v>725</v>
      </c>
      <c r="K63" s="96"/>
      <c r="L63" s="97"/>
      <c r="M63" s="98" t="s">
        <v>104</v>
      </c>
      <c r="N63" s="96" t="s">
        <v>105</v>
      </c>
      <c r="O63" s="99" t="s">
        <v>106</v>
      </c>
      <c r="P63" s="100"/>
      <c r="Q63" s="101" t="s">
        <v>107</v>
      </c>
      <c r="R63" s="102"/>
      <c r="S63" s="103"/>
    </row>
    <row r="64" customFormat="false" ht="15.75" hidden="false" customHeight="false" outlineLevel="0" collapsed="false">
      <c r="A64" s="42"/>
      <c r="B64" s="41"/>
      <c r="D64" s="40" t="s">
        <v>108</v>
      </c>
      <c r="E64" s="8"/>
      <c r="F64" s="8"/>
      <c r="G64" s="40"/>
      <c r="H64" s="8"/>
      <c r="I64" s="104"/>
      <c r="J64" s="105"/>
      <c r="K64" s="106"/>
      <c r="L64" s="107"/>
      <c r="M64" s="108" t="s">
        <v>0</v>
      </c>
      <c r="N64" s="106"/>
      <c r="O64" s="35"/>
      <c r="Q64" s="109"/>
      <c r="R64" s="103"/>
    </row>
    <row r="65" customFormat="false" ht="15.75" hidden="false" customHeight="false" outlineLevel="0" collapsed="false">
      <c r="A65" s="42"/>
      <c r="B65" s="41"/>
      <c r="D65" s="93"/>
      <c r="E65" s="8"/>
      <c r="F65" s="8"/>
      <c r="G65" s="40"/>
      <c r="H65" s="8"/>
      <c r="I65" s="104"/>
      <c r="J65" s="105"/>
      <c r="K65" s="106"/>
      <c r="L65" s="107"/>
      <c r="M65" s="38"/>
      <c r="N65" s="106"/>
      <c r="O65" s="35"/>
    </row>
    <row r="66" customFormat="false" ht="15.75" hidden="false" customHeight="false" outlineLevel="0" collapsed="false">
      <c r="A66" s="42" t="s">
        <v>109</v>
      </c>
      <c r="B66" s="41" t="s">
        <v>96</v>
      </c>
      <c r="D66" s="93" t="s">
        <v>110</v>
      </c>
      <c r="E66" s="8" t="s">
        <v>111</v>
      </c>
      <c r="F66" s="8" t="s">
        <v>112</v>
      </c>
      <c r="G66" s="40" t="s">
        <v>113</v>
      </c>
      <c r="H66" s="8"/>
      <c r="I66" s="110" t="n">
        <v>43130</v>
      </c>
      <c r="J66" s="95" t="n">
        <v>475</v>
      </c>
      <c r="K66" s="96" t="s">
        <v>97</v>
      </c>
      <c r="L66" s="97" t="s">
        <v>97</v>
      </c>
      <c r="M66" s="98" t="s">
        <v>114</v>
      </c>
      <c r="N66" s="96" t="s">
        <v>105</v>
      </c>
      <c r="O66" s="99" t="s">
        <v>106</v>
      </c>
      <c r="P66" s="102"/>
      <c r="Q66" s="101" t="s">
        <v>115</v>
      </c>
      <c r="R66" s="102"/>
    </row>
    <row r="67" customFormat="false" ht="15.75" hidden="false" customHeight="false" outlineLevel="0" collapsed="false">
      <c r="A67" s="42"/>
      <c r="B67" s="41"/>
      <c r="D67" s="111"/>
      <c r="E67" s="8"/>
      <c r="F67" s="8"/>
      <c r="G67" s="22"/>
      <c r="H67" s="41"/>
      <c r="I67" s="41"/>
      <c r="J67" s="41"/>
      <c r="K67" s="20"/>
      <c r="L67" s="41"/>
      <c r="M67" s="108" t="s">
        <v>0</v>
      </c>
      <c r="N67" s="41"/>
      <c r="O67" s="41"/>
    </row>
    <row r="68" customFormat="false" ht="15.75" hidden="false" customHeight="false" outlineLevel="0" collapsed="false">
      <c r="A68" s="42"/>
      <c r="B68" s="41"/>
      <c r="D68" s="111"/>
      <c r="E68" s="8"/>
      <c r="F68" s="8"/>
      <c r="G68" s="22"/>
      <c r="H68" s="41"/>
      <c r="I68" s="41"/>
      <c r="J68" s="41"/>
      <c r="K68" s="20"/>
      <c r="L68" s="41"/>
      <c r="M68" s="38"/>
      <c r="N68" s="41"/>
      <c r="O68" s="41"/>
    </row>
    <row r="69" customFormat="false" ht="15.75" hidden="false" customHeight="false" outlineLevel="0" collapsed="false">
      <c r="A69" s="42" t="s">
        <v>116</v>
      </c>
      <c r="B69" s="20" t="s">
        <v>96</v>
      </c>
      <c r="C69" s="2" t="s">
        <v>117</v>
      </c>
      <c r="D69" s="93" t="s">
        <v>118</v>
      </c>
      <c r="E69" s="8" t="s">
        <v>119</v>
      </c>
      <c r="F69" s="8" t="s">
        <v>120</v>
      </c>
      <c r="G69" s="40" t="s">
        <v>121</v>
      </c>
      <c r="H69" s="112" t="s">
        <v>102</v>
      </c>
      <c r="I69" s="110" t="n">
        <v>43174</v>
      </c>
      <c r="J69" s="113" t="n">
        <v>750</v>
      </c>
      <c r="K69" s="96"/>
      <c r="L69" s="97"/>
      <c r="M69" s="114" t="s">
        <v>122</v>
      </c>
      <c r="N69" s="96" t="s">
        <v>105</v>
      </c>
      <c r="O69" s="99" t="s">
        <v>105</v>
      </c>
      <c r="P69" s="102"/>
      <c r="Q69" s="101" t="s">
        <v>107</v>
      </c>
      <c r="R69" s="102"/>
    </row>
    <row r="70" customFormat="false" ht="15.75" hidden="false" customHeight="false" outlineLevel="0" collapsed="false">
      <c r="A70" s="42"/>
      <c r="B70" s="41"/>
      <c r="D70" s="40" t="s">
        <v>123</v>
      </c>
      <c r="E70" s="8"/>
      <c r="F70" s="8"/>
      <c r="G70" s="40"/>
      <c r="H70" s="8"/>
      <c r="I70" s="106"/>
      <c r="J70" s="115" t="s">
        <v>0</v>
      </c>
      <c r="K70" s="106"/>
      <c r="L70" s="107"/>
      <c r="M70" s="108" t="s">
        <v>124</v>
      </c>
      <c r="N70" s="106"/>
      <c r="O70" s="35"/>
    </row>
    <row r="71" customFormat="false" ht="15.75" hidden="false" customHeight="false" outlineLevel="0" collapsed="false">
      <c r="A71" s="42"/>
      <c r="B71" s="14"/>
      <c r="D71" s="40"/>
      <c r="E71" s="8"/>
      <c r="F71" s="26"/>
      <c r="G71" s="40"/>
      <c r="H71" s="8"/>
      <c r="I71" s="14"/>
      <c r="J71" s="35"/>
      <c r="K71" s="106"/>
      <c r="L71" s="107"/>
      <c r="M71" s="116"/>
      <c r="N71" s="106"/>
      <c r="O71" s="35"/>
    </row>
    <row r="72" s="14" customFormat="true" ht="15.75" hidden="false" customHeight="false" outlineLevel="0" collapsed="false">
      <c r="A72" s="117"/>
      <c r="B72" s="41" t="s">
        <v>125</v>
      </c>
      <c r="C72" s="2" t="s">
        <v>97</v>
      </c>
      <c r="D72" s="37" t="s">
        <v>126</v>
      </c>
      <c r="E72" s="118"/>
      <c r="F72" s="119"/>
      <c r="G72" s="40" t="s">
        <v>127</v>
      </c>
      <c r="H72" s="118"/>
      <c r="I72" s="110" t="n">
        <v>43115</v>
      </c>
      <c r="J72" s="120" t="n">
        <v>700</v>
      </c>
      <c r="K72" s="96" t="s">
        <v>97</v>
      </c>
      <c r="L72" s="121" t="s">
        <v>97</v>
      </c>
      <c r="M72" s="114" t="s">
        <v>128</v>
      </c>
      <c r="N72" s="122"/>
      <c r="O72" s="123"/>
      <c r="P72" s="102"/>
      <c r="Q72" s="101" t="s">
        <v>107</v>
      </c>
      <c r="R72" s="102"/>
    </row>
    <row r="73" s="14" customFormat="true" ht="15.75" hidden="false" customHeight="false" outlineLevel="0" collapsed="false">
      <c r="A73" s="42"/>
      <c r="B73" s="41"/>
      <c r="C73" s="2"/>
      <c r="D73" s="40" t="s">
        <v>129</v>
      </c>
      <c r="E73" s="8"/>
      <c r="F73" s="26"/>
      <c r="G73" s="40"/>
      <c r="H73" s="8"/>
      <c r="J73" s="1"/>
      <c r="K73" s="2"/>
      <c r="L73" s="5"/>
      <c r="M73" s="108" t="s">
        <v>130</v>
      </c>
      <c r="N73" s="2"/>
      <c r="O73" s="1"/>
      <c r="P73" s="1"/>
      <c r="Q73" s="20"/>
    </row>
    <row r="74" s="14" customFormat="true" ht="15.75" hidden="false" customHeight="false" outlineLevel="0" collapsed="false">
      <c r="A74" s="42"/>
      <c r="B74" s="20"/>
      <c r="C74" s="2"/>
      <c r="D74" s="40"/>
      <c r="E74" s="8"/>
      <c r="F74" s="124"/>
      <c r="G74" s="40"/>
      <c r="H74" s="125"/>
      <c r="I74" s="104"/>
      <c r="J74" s="106"/>
      <c r="K74" s="126"/>
      <c r="L74" s="107"/>
      <c r="M74" s="38"/>
      <c r="N74" s="106"/>
      <c r="O74" s="35"/>
      <c r="P74" s="1"/>
      <c r="Q74" s="20"/>
    </row>
    <row r="75" customFormat="false" ht="15.75" hidden="false" customHeight="false" outlineLevel="0" collapsed="false">
      <c r="A75" s="42" t="s">
        <v>131</v>
      </c>
      <c r="B75" s="41" t="s">
        <v>132</v>
      </c>
      <c r="C75" s="2" t="s">
        <v>117</v>
      </c>
      <c r="D75" s="41" t="s">
        <v>133</v>
      </c>
      <c r="E75" s="8" t="s">
        <v>134</v>
      </c>
      <c r="F75" s="127" t="s">
        <v>135</v>
      </c>
      <c r="G75" s="40" t="s">
        <v>136</v>
      </c>
      <c r="H75" s="128" t="n">
        <v>5000</v>
      </c>
      <c r="I75" s="110" t="n">
        <v>43105</v>
      </c>
      <c r="J75" s="95" t="n">
        <v>700</v>
      </c>
      <c r="K75" s="129"/>
      <c r="L75" s="97"/>
      <c r="M75" s="130" t="s">
        <v>137</v>
      </c>
      <c r="N75" s="96" t="s">
        <v>106</v>
      </c>
      <c r="O75" s="99" t="s">
        <v>105</v>
      </c>
      <c r="P75" s="131"/>
      <c r="Q75" s="101" t="s">
        <v>107</v>
      </c>
      <c r="R75" s="102"/>
    </row>
    <row r="76" customFormat="false" ht="15.75" hidden="false" customHeight="false" outlineLevel="0" collapsed="false">
      <c r="A76" s="42"/>
      <c r="B76" s="41"/>
      <c r="D76" s="40" t="s">
        <v>138</v>
      </c>
      <c r="E76" s="132"/>
      <c r="F76" s="127" t="s">
        <v>139</v>
      </c>
      <c r="G76" s="40"/>
      <c r="H76" s="8" t="s">
        <v>140</v>
      </c>
      <c r="I76" s="104"/>
      <c r="J76" s="106"/>
      <c r="K76" s="126"/>
      <c r="L76" s="107"/>
      <c r="M76" s="108" t="s">
        <v>0</v>
      </c>
      <c r="N76" s="106"/>
      <c r="O76" s="14"/>
    </row>
    <row r="77" s="14" customFormat="true" ht="15.75" hidden="false" customHeight="false" outlineLevel="0" collapsed="false">
      <c r="A77" s="42"/>
      <c r="B77" s="20"/>
      <c r="C77" s="2"/>
      <c r="D77" s="40"/>
      <c r="E77" s="8"/>
      <c r="F77" s="124"/>
      <c r="G77" s="40"/>
      <c r="H77" s="125"/>
      <c r="I77" s="104"/>
      <c r="J77" s="106"/>
      <c r="K77" s="126"/>
      <c r="L77" s="107"/>
      <c r="M77" s="38"/>
      <c r="N77" s="106"/>
      <c r="O77" s="35"/>
      <c r="P77" s="1"/>
      <c r="Q77" s="20"/>
    </row>
    <row r="78" s="135" customFormat="true" ht="18" hidden="false" customHeight="false" outlineLevel="0" collapsed="false">
      <c r="A78" s="42"/>
      <c r="B78" s="63" t="s">
        <v>141</v>
      </c>
      <c r="C78" s="64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133"/>
      <c r="R78" s="134"/>
    </row>
    <row r="79" s="135" customFormat="true" ht="15.75" hidden="false" customHeight="false" outlineLevel="0" collapsed="false">
      <c r="A79" s="42"/>
      <c r="B79" s="41"/>
      <c r="C79" s="7"/>
      <c r="D79" s="41"/>
      <c r="E79" s="20"/>
      <c r="F79" s="37"/>
      <c r="G79" s="22"/>
      <c r="H79" s="41"/>
      <c r="I79" s="41"/>
      <c r="J79" s="41"/>
      <c r="K79" s="20"/>
      <c r="L79" s="41"/>
      <c r="M79" s="136"/>
      <c r="N79" s="41"/>
      <c r="O79" s="41"/>
      <c r="Q79" s="7"/>
    </row>
    <row r="80" customFormat="false" ht="15.75" hidden="false" customHeight="false" outlineLevel="0" collapsed="false">
      <c r="A80" s="42" t="s">
        <v>142</v>
      </c>
      <c r="B80" s="41"/>
      <c r="D80" s="93" t="s">
        <v>143</v>
      </c>
      <c r="E80" s="137" t="s">
        <v>144</v>
      </c>
      <c r="F80" s="8"/>
      <c r="G80" s="40" t="s">
        <v>145</v>
      </c>
      <c r="H80" s="138" t="s">
        <v>102</v>
      </c>
      <c r="I80" s="104" t="s">
        <v>103</v>
      </c>
      <c r="J80" s="139"/>
      <c r="K80" s="129"/>
      <c r="L80" s="97"/>
      <c r="M80" s="114"/>
      <c r="N80" s="96" t="s">
        <v>105</v>
      </c>
      <c r="O80" s="99" t="s">
        <v>105</v>
      </c>
      <c r="P80" s="102"/>
      <c r="Q80" s="101" t="s">
        <v>146</v>
      </c>
      <c r="R80" s="102"/>
    </row>
    <row r="81" customFormat="false" ht="15.75" hidden="false" customHeight="false" outlineLevel="0" collapsed="false">
      <c r="A81" s="42"/>
      <c r="B81" s="41"/>
      <c r="D81" s="40" t="s">
        <v>147</v>
      </c>
      <c r="E81" s="137" t="s">
        <v>148</v>
      </c>
      <c r="F81" s="8"/>
      <c r="G81" s="40"/>
      <c r="H81" s="138"/>
      <c r="I81" s="104"/>
      <c r="J81" s="105"/>
      <c r="K81" s="126"/>
      <c r="L81" s="107"/>
      <c r="M81" s="108"/>
      <c r="N81" s="106"/>
      <c r="O81" s="35"/>
    </row>
    <row r="82" customFormat="false" ht="15.75" hidden="false" customHeight="false" outlineLevel="0" collapsed="false">
      <c r="A82" s="42"/>
      <c r="B82" s="41"/>
      <c r="D82" s="93"/>
      <c r="E82" s="8"/>
      <c r="F82" s="8"/>
      <c r="G82" s="40"/>
      <c r="H82" s="138"/>
      <c r="I82" s="104"/>
      <c r="J82" s="105"/>
      <c r="K82" s="126"/>
      <c r="L82" s="107"/>
      <c r="M82" s="136"/>
      <c r="N82" s="106"/>
      <c r="O82" s="35"/>
    </row>
    <row r="83" customFormat="false" ht="15.75" hidden="false" customHeight="false" outlineLevel="0" collapsed="false">
      <c r="A83" s="42" t="s">
        <v>149</v>
      </c>
      <c r="B83" s="20" t="s">
        <v>96</v>
      </c>
      <c r="C83" s="2" t="s">
        <v>117</v>
      </c>
      <c r="D83" s="93" t="s">
        <v>150</v>
      </c>
      <c r="E83" s="33" t="s">
        <v>151</v>
      </c>
      <c r="F83" s="8" t="s">
        <v>152</v>
      </c>
      <c r="G83" s="40" t="s">
        <v>153</v>
      </c>
      <c r="H83" s="112" t="s">
        <v>102</v>
      </c>
      <c r="I83" s="104" t="s">
        <v>103</v>
      </c>
      <c r="J83" s="95" t="n">
        <v>800</v>
      </c>
      <c r="K83" s="129" t="s">
        <v>97</v>
      </c>
      <c r="L83" s="97"/>
      <c r="M83" s="114" t="s">
        <v>154</v>
      </c>
      <c r="N83" s="96" t="s">
        <v>105</v>
      </c>
      <c r="O83" s="99" t="s">
        <v>105</v>
      </c>
      <c r="P83" s="140"/>
      <c r="Q83" s="101" t="s">
        <v>155</v>
      </c>
      <c r="R83" s="102"/>
    </row>
    <row r="84" customFormat="false" ht="18" hidden="false" customHeight="false" outlineLevel="0" collapsed="false">
      <c r="A84" s="42"/>
      <c r="B84" s="20"/>
      <c r="D84" s="40" t="s">
        <v>156</v>
      </c>
      <c r="E84" s="141" t="s">
        <v>157</v>
      </c>
      <c r="F84" s="8"/>
      <c r="G84" s="40" t="s">
        <v>0</v>
      </c>
      <c r="H84" s="138"/>
      <c r="I84" s="104"/>
      <c r="J84" s="105"/>
      <c r="K84" s="126"/>
      <c r="L84" s="107"/>
      <c r="M84" s="108" t="s">
        <v>158</v>
      </c>
      <c r="N84" s="106"/>
      <c r="O84" s="35"/>
    </row>
    <row r="85" customFormat="false" ht="15.75" hidden="false" customHeight="false" outlineLevel="0" collapsed="false">
      <c r="A85" s="42"/>
      <c r="B85" s="8"/>
      <c r="D85" s="93"/>
      <c r="E85" s="8"/>
      <c r="F85" s="8"/>
      <c r="G85" s="40"/>
      <c r="H85" s="138"/>
      <c r="I85" s="104"/>
      <c r="J85" s="105"/>
      <c r="K85" s="126"/>
      <c r="L85" s="107"/>
      <c r="M85" s="136"/>
      <c r="N85" s="106"/>
      <c r="O85" s="35"/>
    </row>
    <row r="86" customFormat="false" ht="15.75" hidden="false" customHeight="false" outlineLevel="0" collapsed="false">
      <c r="A86" s="42" t="s">
        <v>159</v>
      </c>
      <c r="B86" s="41" t="s">
        <v>96</v>
      </c>
      <c r="C86" s="2" t="s">
        <v>117</v>
      </c>
      <c r="D86" s="93" t="s">
        <v>160</v>
      </c>
      <c r="E86" s="33" t="s">
        <v>161</v>
      </c>
      <c r="F86" s="33" t="s">
        <v>162</v>
      </c>
      <c r="G86" s="40" t="s">
        <v>163</v>
      </c>
      <c r="H86" s="8" t="s">
        <v>102</v>
      </c>
      <c r="I86" s="142" t="s">
        <v>103</v>
      </c>
      <c r="J86" s="95" t="n">
        <v>700</v>
      </c>
      <c r="K86" s="140"/>
      <c r="L86" s="97"/>
      <c r="M86" s="114" t="s">
        <v>164</v>
      </c>
      <c r="N86" s="96" t="s">
        <v>106</v>
      </c>
      <c r="O86" s="102" t="s">
        <v>105</v>
      </c>
      <c r="P86" s="102"/>
      <c r="Q86" s="101" t="s">
        <v>146</v>
      </c>
      <c r="R86" s="102"/>
    </row>
    <row r="87" customFormat="false" ht="15" hidden="false" customHeight="true" outlineLevel="0" collapsed="false">
      <c r="A87" s="42"/>
      <c r="D87" s="40" t="s">
        <v>165</v>
      </c>
      <c r="E87" s="1"/>
      <c r="H87" s="8"/>
      <c r="L87" s="18"/>
      <c r="M87" s="108"/>
    </row>
    <row r="88" customFormat="false" ht="15" hidden="false" customHeight="true" outlineLevel="0" collapsed="false">
      <c r="A88" s="42"/>
      <c r="D88" s="40"/>
      <c r="E88" s="1"/>
      <c r="H88" s="8"/>
      <c r="L88" s="18"/>
      <c r="M88" s="38"/>
    </row>
    <row r="89" customFormat="false" ht="15" hidden="false" customHeight="true" outlineLevel="0" collapsed="false">
      <c r="A89" s="42" t="s">
        <v>166</v>
      </c>
      <c r="B89" s="41" t="s">
        <v>96</v>
      </c>
      <c r="C89" s="2" t="s">
        <v>97</v>
      </c>
      <c r="D89" s="37" t="s">
        <v>167</v>
      </c>
      <c r="E89" s="33" t="s">
        <v>168</v>
      </c>
      <c r="F89" s="33" t="s">
        <v>169</v>
      </c>
      <c r="G89" s="40" t="s">
        <v>170</v>
      </c>
      <c r="H89" s="128" t="s">
        <v>102</v>
      </c>
      <c r="I89" s="110" t="n">
        <v>43089</v>
      </c>
      <c r="J89" s="95" t="n">
        <v>550</v>
      </c>
      <c r="K89" s="96" t="s">
        <v>97</v>
      </c>
      <c r="L89" s="97" t="s">
        <v>97</v>
      </c>
      <c r="M89" s="143" t="s">
        <v>114</v>
      </c>
      <c r="N89" s="140" t="s">
        <v>105</v>
      </c>
      <c r="O89" s="102" t="s">
        <v>105</v>
      </c>
      <c r="P89" s="102"/>
      <c r="Q89" s="101" t="s">
        <v>107</v>
      </c>
      <c r="R89" s="102"/>
    </row>
    <row r="90" customFormat="false" ht="15.75" hidden="false" customHeight="false" outlineLevel="0" collapsed="false">
      <c r="A90" s="42"/>
      <c r="D90" s="40" t="s">
        <v>171</v>
      </c>
      <c r="H90" s="8"/>
      <c r="I90" s="41"/>
      <c r="L90" s="18"/>
      <c r="M90" s="108" t="s">
        <v>0</v>
      </c>
    </row>
    <row r="91" customFormat="false" ht="15.75" hidden="false" customHeight="false" outlineLevel="0" collapsed="false">
      <c r="A91" s="42"/>
      <c r="D91" s="40"/>
      <c r="H91" s="8"/>
      <c r="I91" s="41"/>
      <c r="L91" s="18"/>
      <c r="M91" s="38"/>
    </row>
    <row r="92" customFormat="false" ht="15" hidden="false" customHeight="true" outlineLevel="0" collapsed="false">
      <c r="A92" s="117"/>
      <c r="B92" s="135" t="s">
        <v>96</v>
      </c>
      <c r="C92" s="2" t="s">
        <v>117</v>
      </c>
      <c r="D92" s="37" t="s">
        <v>172</v>
      </c>
      <c r="E92" s="8" t="s">
        <v>173</v>
      </c>
      <c r="F92" s="8" t="s">
        <v>174</v>
      </c>
      <c r="G92" s="40" t="s">
        <v>175</v>
      </c>
      <c r="H92" s="118"/>
      <c r="I92" s="110" t="n">
        <v>43174</v>
      </c>
      <c r="J92" s="95" t="n">
        <v>800</v>
      </c>
      <c r="K92" s="96"/>
      <c r="L92" s="97"/>
      <c r="M92" s="114" t="s">
        <v>176</v>
      </c>
      <c r="N92" s="96" t="s">
        <v>105</v>
      </c>
      <c r="O92" s="99" t="s">
        <v>105</v>
      </c>
      <c r="P92" s="102"/>
      <c r="Q92" s="101" t="s">
        <v>115</v>
      </c>
      <c r="R92" s="102"/>
    </row>
    <row r="93" customFormat="false" ht="15" hidden="false" customHeight="true" outlineLevel="0" collapsed="false">
      <c r="A93" s="42"/>
      <c r="D93" s="40" t="s">
        <v>177</v>
      </c>
      <c r="E93" s="8" t="s">
        <v>178</v>
      </c>
      <c r="H93" s="8"/>
      <c r="I93" s="41"/>
      <c r="J93" s="41"/>
      <c r="K93" s="20"/>
      <c r="L93" s="41"/>
      <c r="M93" s="108" t="s">
        <v>0</v>
      </c>
      <c r="N93" s="41"/>
      <c r="O93" s="41"/>
      <c r="Q93" s="144"/>
      <c r="R93" s="66"/>
    </row>
    <row r="94" customFormat="false" ht="15" hidden="false" customHeight="true" outlineLevel="0" collapsed="false">
      <c r="A94" s="42"/>
      <c r="D94" s="40"/>
      <c r="E94" s="8"/>
      <c r="H94" s="8"/>
      <c r="I94" s="41"/>
      <c r="J94" s="41"/>
      <c r="K94" s="20"/>
      <c r="L94" s="41"/>
      <c r="M94" s="38"/>
      <c r="N94" s="41"/>
      <c r="O94" s="41"/>
      <c r="Q94" s="144"/>
      <c r="R94" s="66"/>
    </row>
    <row r="95" customFormat="false" ht="15" hidden="false" customHeight="true" outlineLevel="0" collapsed="false">
      <c r="A95" s="42" t="s">
        <v>179</v>
      </c>
      <c r="B95" s="135" t="s">
        <v>96</v>
      </c>
      <c r="C95" s="2" t="s">
        <v>97</v>
      </c>
      <c r="D95" s="37" t="s">
        <v>180</v>
      </c>
      <c r="E95" s="145" t="s">
        <v>181</v>
      </c>
      <c r="F95" s="8" t="s">
        <v>182</v>
      </c>
      <c r="G95" s="40" t="s">
        <v>183</v>
      </c>
      <c r="H95" s="8" t="s">
        <v>102</v>
      </c>
      <c r="I95" s="110" t="n">
        <v>43174</v>
      </c>
      <c r="J95" s="95" t="n">
        <v>900</v>
      </c>
      <c r="K95" s="96"/>
      <c r="L95" s="97" t="n">
        <v>43115</v>
      </c>
      <c r="M95" s="114" t="s">
        <v>184</v>
      </c>
      <c r="N95" s="96" t="s">
        <v>105</v>
      </c>
      <c r="O95" s="99" t="s">
        <v>105</v>
      </c>
      <c r="P95" s="102"/>
      <c r="Q95" s="101" t="s">
        <v>107</v>
      </c>
      <c r="R95" s="102"/>
    </row>
    <row r="96" customFormat="false" ht="15" hidden="false" customHeight="true" outlineLevel="0" collapsed="false">
      <c r="A96" s="42"/>
      <c r="D96" s="40" t="s">
        <v>185</v>
      </c>
      <c r="E96" s="8"/>
      <c r="H96" s="8"/>
      <c r="I96" s="41"/>
      <c r="J96" s="41"/>
      <c r="K96" s="20"/>
      <c r="L96" s="41"/>
      <c r="M96" s="108" t="s">
        <v>0</v>
      </c>
      <c r="N96" s="41"/>
      <c r="O96" s="41"/>
      <c r="Q96" s="144"/>
      <c r="R96" s="66"/>
    </row>
    <row r="97" customFormat="false" ht="15" hidden="false" customHeight="true" outlineLevel="0" collapsed="false">
      <c r="A97" s="42"/>
      <c r="D97" s="40"/>
      <c r="E97" s="8"/>
      <c r="H97" s="8"/>
      <c r="I97" s="41"/>
      <c r="J97" s="41"/>
      <c r="K97" s="20"/>
      <c r="L97" s="41"/>
      <c r="M97" s="38"/>
      <c r="N97" s="41"/>
      <c r="O97" s="41"/>
      <c r="Q97" s="144"/>
      <c r="R97" s="66"/>
    </row>
    <row r="98" customFormat="false" ht="15" hidden="false" customHeight="true" outlineLevel="0" collapsed="false">
      <c r="A98" s="42" t="s">
        <v>186</v>
      </c>
      <c r="B98" s="135" t="s">
        <v>96</v>
      </c>
      <c r="C98" s="2" t="s">
        <v>97</v>
      </c>
      <c r="D98" s="37" t="s">
        <v>187</v>
      </c>
      <c r="E98" s="145" t="s">
        <v>188</v>
      </c>
      <c r="F98" s="8" t="s">
        <v>189</v>
      </c>
      <c r="G98" s="40" t="s">
        <v>190</v>
      </c>
      <c r="H98" s="125" t="n">
        <v>5000</v>
      </c>
      <c r="I98" s="146"/>
      <c r="J98" s="95" t="n">
        <v>650</v>
      </c>
      <c r="K98" s="96" t="s">
        <v>97</v>
      </c>
      <c r="L98" s="97"/>
      <c r="M98" s="143" t="s">
        <v>114</v>
      </c>
      <c r="N98" s="96" t="s">
        <v>105</v>
      </c>
      <c r="O98" s="99" t="s">
        <v>105</v>
      </c>
      <c r="P98" s="102"/>
      <c r="Q98" s="101" t="s">
        <v>191</v>
      </c>
      <c r="R98" s="102"/>
    </row>
    <row r="99" customFormat="false" ht="15" hidden="false" customHeight="true" outlineLevel="0" collapsed="false">
      <c r="A99" s="42"/>
      <c r="D99" s="40" t="s">
        <v>192</v>
      </c>
      <c r="H99" s="8"/>
      <c r="I99" s="41"/>
      <c r="J99" s="41"/>
      <c r="K99" s="20"/>
      <c r="L99" s="41"/>
      <c r="M99" s="108" t="s">
        <v>0</v>
      </c>
      <c r="N99" s="41"/>
      <c r="O99" s="41"/>
      <c r="Q99" s="144"/>
      <c r="R99" s="66"/>
    </row>
    <row r="100" customFormat="false" ht="15" hidden="false" customHeight="true" outlineLevel="0" collapsed="false">
      <c r="A100" s="42"/>
      <c r="D100" s="40"/>
      <c r="H100" s="8"/>
      <c r="I100" s="41"/>
      <c r="J100" s="41"/>
      <c r="K100" s="20"/>
      <c r="L100" s="41"/>
      <c r="M100" s="38"/>
      <c r="N100" s="41"/>
      <c r="O100" s="41"/>
    </row>
    <row r="101" customFormat="false" ht="15" hidden="false" customHeight="true" outlineLevel="0" collapsed="false">
      <c r="A101" s="42" t="s">
        <v>193</v>
      </c>
      <c r="B101" s="135" t="s">
        <v>96</v>
      </c>
      <c r="C101" s="2" t="s">
        <v>117</v>
      </c>
      <c r="D101" s="37" t="s">
        <v>194</v>
      </c>
      <c r="E101" s="145" t="s">
        <v>195</v>
      </c>
      <c r="F101" s="8" t="s">
        <v>196</v>
      </c>
      <c r="G101" s="4" t="s">
        <v>197</v>
      </c>
      <c r="H101" s="128" t="n">
        <v>5000</v>
      </c>
      <c r="I101" s="104" t="n">
        <v>43205</v>
      </c>
      <c r="J101" s="95" t="n">
        <v>650</v>
      </c>
      <c r="K101" s="96"/>
      <c r="L101" s="97" t="n">
        <v>43187</v>
      </c>
      <c r="M101" s="114" t="s">
        <v>198</v>
      </c>
      <c r="N101" s="96" t="s">
        <v>105</v>
      </c>
      <c r="O101" s="99" t="s">
        <v>105</v>
      </c>
      <c r="P101" s="102"/>
      <c r="Q101" s="101" t="s">
        <v>199</v>
      </c>
      <c r="R101" s="102"/>
    </row>
    <row r="102" customFormat="false" ht="15" hidden="false" customHeight="true" outlineLevel="0" collapsed="false">
      <c r="A102" s="42"/>
      <c r="D102" s="40" t="s">
        <v>155</v>
      </c>
      <c r="H102" s="8"/>
      <c r="I102" s="41"/>
      <c r="J102" s="41"/>
      <c r="K102" s="20"/>
      <c r="L102" s="41"/>
      <c r="M102" s="108" t="s">
        <v>0</v>
      </c>
      <c r="N102" s="41"/>
      <c r="O102" s="41"/>
      <c r="Q102" s="144"/>
      <c r="R102" s="66"/>
    </row>
    <row r="103" customFormat="false" ht="15" hidden="false" customHeight="true" outlineLevel="0" collapsed="false">
      <c r="A103" s="42"/>
      <c r="D103" s="40"/>
      <c r="H103" s="8"/>
      <c r="I103" s="41"/>
      <c r="J103" s="41"/>
      <c r="K103" s="20"/>
      <c r="L103" s="41"/>
      <c r="M103" s="38"/>
      <c r="N103" s="41"/>
      <c r="O103" s="41"/>
    </row>
    <row r="104" customFormat="false" ht="18" hidden="false" customHeight="false" outlineLevel="0" collapsed="false">
      <c r="A104" s="42"/>
      <c r="B104" s="63" t="s">
        <v>42</v>
      </c>
      <c r="C104" s="64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133"/>
      <c r="R104" s="147"/>
    </row>
    <row r="105" customFormat="false" ht="18" hidden="false" customHeight="false" outlineLevel="0" collapsed="false">
      <c r="A105" s="42"/>
      <c r="B105" s="66"/>
      <c r="C105" s="148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</row>
    <row r="106" customFormat="false" ht="15.75" hidden="false" customHeight="false" outlineLevel="0" collapsed="false">
      <c r="A106" s="42" t="s">
        <v>200</v>
      </c>
      <c r="B106" s="41" t="s">
        <v>96</v>
      </c>
      <c r="D106" s="37" t="s">
        <v>201</v>
      </c>
      <c r="E106" s="8" t="s">
        <v>202</v>
      </c>
      <c r="F106" s="8" t="s">
        <v>203</v>
      </c>
      <c r="G106" s="40" t="s">
        <v>204</v>
      </c>
      <c r="H106" s="125" t="s">
        <v>102</v>
      </c>
      <c r="I106" s="142" t="s">
        <v>103</v>
      </c>
      <c r="J106" s="95" t="n">
        <v>600</v>
      </c>
      <c r="K106" s="96"/>
      <c r="L106" s="121"/>
      <c r="M106" s="114" t="s">
        <v>205</v>
      </c>
      <c r="N106" s="149" t="s">
        <v>105</v>
      </c>
      <c r="O106" s="99" t="s">
        <v>105</v>
      </c>
      <c r="P106" s="102"/>
      <c r="Q106" s="101" t="s">
        <v>146</v>
      </c>
      <c r="R106" s="102"/>
    </row>
    <row r="107" customFormat="false" ht="15.75" hidden="false" customHeight="false" outlineLevel="0" collapsed="false">
      <c r="A107" s="42"/>
      <c r="D107" s="4" t="s">
        <v>206</v>
      </c>
      <c r="J107" s="41"/>
      <c r="K107" s="20"/>
      <c r="L107" s="41"/>
      <c r="M107" s="150"/>
      <c r="N107" s="41"/>
      <c r="O107" s="41"/>
    </row>
    <row r="108" customFormat="false" ht="15.75" hidden="false" customHeight="false" outlineLevel="0" collapsed="false">
      <c r="A108" s="42"/>
      <c r="J108" s="41"/>
      <c r="K108" s="20"/>
      <c r="L108" s="41"/>
      <c r="M108" s="103"/>
      <c r="N108" s="41"/>
      <c r="O108" s="41"/>
    </row>
    <row r="109" s="151" customFormat="true" ht="18.75" hidden="false" customHeight="false" outlineLevel="0" collapsed="false">
      <c r="A109" s="42"/>
      <c r="B109" s="29" t="s">
        <v>207</v>
      </c>
      <c r="C109" s="44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45"/>
      <c r="R109" s="29"/>
    </row>
    <row r="110" customFormat="false" ht="15.75" hidden="false" customHeight="true" outlineLevel="0" collapsed="false">
      <c r="A110" s="42"/>
      <c r="B110" s="41"/>
      <c r="D110" s="152" t="s">
        <v>76</v>
      </c>
      <c r="E110" s="153" t="s">
        <v>208</v>
      </c>
      <c r="F110" s="154" t="s">
        <v>78</v>
      </c>
      <c r="G110" s="155" t="s">
        <v>79</v>
      </c>
      <c r="H110" s="71" t="s">
        <v>79</v>
      </c>
      <c r="I110" s="72" t="s">
        <v>80</v>
      </c>
      <c r="J110" s="73" t="s">
        <v>81</v>
      </c>
      <c r="K110" s="74" t="s">
        <v>82</v>
      </c>
      <c r="L110" s="156" t="s">
        <v>83</v>
      </c>
      <c r="M110" s="71" t="s">
        <v>84</v>
      </c>
      <c r="N110" s="71" t="s">
        <v>85</v>
      </c>
      <c r="O110" s="74" t="s">
        <v>86</v>
      </c>
      <c r="P110" s="157" t="s">
        <v>87</v>
      </c>
      <c r="Q110" s="77" t="s">
        <v>88</v>
      </c>
      <c r="R110" s="78" t="s">
        <v>89</v>
      </c>
    </row>
    <row r="111" customFormat="false" ht="15.75" hidden="false" customHeight="true" outlineLevel="0" collapsed="false">
      <c r="A111" s="42"/>
      <c r="B111" s="41"/>
      <c r="D111" s="152"/>
      <c r="E111" s="153"/>
      <c r="F111" s="154"/>
      <c r="G111" s="155"/>
      <c r="H111" s="71"/>
      <c r="I111" s="158" t="s">
        <v>209</v>
      </c>
      <c r="J111" s="159" t="s">
        <v>91</v>
      </c>
      <c r="K111" s="160" t="s">
        <v>92</v>
      </c>
      <c r="L111" s="156"/>
      <c r="M111" s="71"/>
      <c r="N111" s="71"/>
      <c r="O111" s="161" t="s">
        <v>93</v>
      </c>
      <c r="P111" s="157"/>
      <c r="Q111" s="79"/>
      <c r="R111" s="162" t="s">
        <v>94</v>
      </c>
      <c r="S111" s="163"/>
    </row>
    <row r="112" customFormat="false" ht="15.75" hidden="false" customHeight="false" outlineLevel="0" collapsed="false">
      <c r="A112" s="42"/>
      <c r="B112" s="41"/>
      <c r="D112" s="41"/>
      <c r="E112" s="8"/>
      <c r="F112" s="26"/>
      <c r="G112" s="40"/>
      <c r="H112" s="112"/>
      <c r="I112" s="104"/>
      <c r="J112" s="106"/>
      <c r="K112" s="106"/>
      <c r="L112" s="107"/>
      <c r="M112" s="19"/>
      <c r="N112" s="106"/>
      <c r="O112" s="35"/>
      <c r="R112" s="90"/>
    </row>
    <row r="113" customFormat="false" ht="15.75" hidden="false" customHeight="false" outlineLevel="0" collapsed="false">
      <c r="A113" s="42" t="s">
        <v>210</v>
      </c>
      <c r="B113" s="41" t="s">
        <v>211</v>
      </c>
      <c r="C113" s="2" t="s">
        <v>97</v>
      </c>
      <c r="D113" s="93" t="s">
        <v>212</v>
      </c>
      <c r="E113" s="145" t="s">
        <v>213</v>
      </c>
      <c r="F113" s="33" t="s">
        <v>214</v>
      </c>
      <c r="G113" s="40" t="s">
        <v>215</v>
      </c>
      <c r="H113" s="8" t="s">
        <v>102</v>
      </c>
      <c r="I113" s="110" t="n">
        <v>43089</v>
      </c>
      <c r="J113" s="95" t="n">
        <v>450</v>
      </c>
      <c r="K113" s="96" t="s">
        <v>97</v>
      </c>
      <c r="L113" s="97" t="s">
        <v>97</v>
      </c>
      <c r="M113" s="143" t="s">
        <v>216</v>
      </c>
      <c r="N113" s="96" t="s">
        <v>105</v>
      </c>
      <c r="O113" s="99" t="s">
        <v>105</v>
      </c>
      <c r="P113" s="102"/>
      <c r="Q113" s="101" t="s">
        <v>199</v>
      </c>
      <c r="R113" s="102"/>
    </row>
    <row r="114" customFormat="false" ht="15.75" hidden="false" customHeight="false" outlineLevel="0" collapsed="false">
      <c r="A114" s="42"/>
      <c r="B114" s="41"/>
      <c r="D114" s="40" t="s">
        <v>217</v>
      </c>
      <c r="E114" s="8"/>
      <c r="F114" s="37"/>
      <c r="G114" s="22"/>
      <c r="H114" s="41"/>
      <c r="J114" s="41"/>
      <c r="K114" s="20"/>
      <c r="L114" s="41"/>
      <c r="M114" s="108" t="s">
        <v>218</v>
      </c>
      <c r="N114" s="41"/>
      <c r="O114" s="41"/>
    </row>
    <row r="115" customFormat="false" ht="15" hidden="false" customHeight="false" outlineLevel="0" collapsed="false">
      <c r="A115" s="42"/>
      <c r="B115" s="135"/>
      <c r="D115" s="40"/>
      <c r="H115" s="164"/>
      <c r="I115" s="165"/>
      <c r="J115" s="166"/>
      <c r="K115" s="167"/>
      <c r="L115" s="168"/>
      <c r="M115" s="169"/>
      <c r="N115" s="166"/>
      <c r="O115" s="103"/>
    </row>
    <row r="116" customFormat="false" ht="15.75" hidden="false" customHeight="false" outlineLevel="0" collapsed="false">
      <c r="A116" s="42" t="s">
        <v>219</v>
      </c>
      <c r="B116" s="41" t="s">
        <v>211</v>
      </c>
      <c r="C116" s="2" t="s">
        <v>117</v>
      </c>
      <c r="D116" s="93" t="s">
        <v>220</v>
      </c>
      <c r="E116" s="33" t="s">
        <v>221</v>
      </c>
      <c r="F116" s="33" t="s">
        <v>222</v>
      </c>
      <c r="G116" s="40" t="s">
        <v>223</v>
      </c>
      <c r="H116" s="125" t="n">
        <v>5000</v>
      </c>
      <c r="I116" s="142" t="s">
        <v>103</v>
      </c>
      <c r="J116" s="95" t="n">
        <v>600</v>
      </c>
      <c r="K116" s="170"/>
      <c r="L116" s="97" t="n">
        <v>43300</v>
      </c>
      <c r="M116" s="114" t="s">
        <v>224</v>
      </c>
      <c r="N116" s="96" t="s">
        <v>105</v>
      </c>
      <c r="O116" s="171" t="s">
        <v>105</v>
      </c>
      <c r="P116" s="102"/>
      <c r="Q116" s="101" t="s">
        <v>199</v>
      </c>
      <c r="R116" s="102"/>
    </row>
    <row r="117" customFormat="false" ht="15" hidden="false" customHeight="false" outlineLevel="0" collapsed="false">
      <c r="A117" s="42"/>
      <c r="B117" s="135"/>
      <c r="D117" s="40" t="s">
        <v>225</v>
      </c>
      <c r="E117" s="33" t="s">
        <v>226</v>
      </c>
      <c r="F117" s="33" t="s">
        <v>227</v>
      </c>
      <c r="H117" s="164"/>
      <c r="I117" s="165"/>
      <c r="J117" s="166"/>
      <c r="K117" s="167"/>
      <c r="L117" s="168"/>
      <c r="M117" s="108" t="s">
        <v>0</v>
      </c>
      <c r="N117" s="166"/>
      <c r="O117" s="103"/>
    </row>
    <row r="118" customFormat="false" ht="15" hidden="false" customHeight="false" outlineLevel="0" collapsed="false">
      <c r="A118" s="42"/>
      <c r="B118" s="135"/>
      <c r="D118" s="40"/>
      <c r="E118" s="33"/>
      <c r="F118" s="33"/>
      <c r="H118" s="164"/>
      <c r="I118" s="165"/>
      <c r="J118" s="166"/>
      <c r="K118" s="167"/>
      <c r="L118" s="168"/>
      <c r="M118" s="169"/>
      <c r="N118" s="166"/>
      <c r="O118" s="103"/>
    </row>
    <row r="119" customFormat="false" ht="15.75" hidden="false" customHeight="false" outlineLevel="0" collapsed="false">
      <c r="A119" s="42" t="s">
        <v>228</v>
      </c>
      <c r="B119" s="135"/>
      <c r="C119" s="2" t="s">
        <v>117</v>
      </c>
      <c r="D119" s="37" t="s">
        <v>229</v>
      </c>
      <c r="E119" s="172"/>
      <c r="F119" s="173"/>
      <c r="G119" s="40" t="s">
        <v>230</v>
      </c>
      <c r="H119" s="125" t="n">
        <v>5000</v>
      </c>
      <c r="I119" s="118" t="s">
        <v>103</v>
      </c>
      <c r="J119" s="95" t="n">
        <v>600</v>
      </c>
      <c r="K119" s="96" t="s">
        <v>97</v>
      </c>
      <c r="L119" s="97" t="n">
        <v>43269</v>
      </c>
      <c r="M119" s="114" t="s">
        <v>231</v>
      </c>
      <c r="N119" s="174"/>
      <c r="O119" s="175"/>
      <c r="P119" s="102"/>
      <c r="Q119" s="176" t="s">
        <v>146</v>
      </c>
      <c r="R119" s="102"/>
    </row>
    <row r="120" customFormat="false" ht="18" hidden="false" customHeight="false" outlineLevel="0" collapsed="false">
      <c r="A120" s="42"/>
      <c r="B120" s="135"/>
      <c r="D120" s="40" t="s">
        <v>232</v>
      </c>
      <c r="E120" s="33"/>
      <c r="G120" s="40"/>
      <c r="I120" s="165"/>
      <c r="J120" s="41"/>
      <c r="K120" s="20"/>
      <c r="L120" s="41"/>
      <c r="M120" s="108" t="s">
        <v>233</v>
      </c>
      <c r="N120" s="41"/>
      <c r="O120" s="41"/>
      <c r="Q120" s="144"/>
      <c r="R120" s="66"/>
    </row>
    <row r="121" customFormat="false" ht="15.75" hidden="false" customHeight="false" outlineLevel="0" collapsed="false">
      <c r="A121" s="42"/>
      <c r="B121" s="135"/>
      <c r="D121" s="40"/>
      <c r="E121" s="33"/>
      <c r="G121" s="40"/>
      <c r="I121" s="165"/>
      <c r="J121" s="41"/>
      <c r="K121" s="20"/>
      <c r="L121" s="41"/>
      <c r="M121" s="38"/>
      <c r="N121" s="41"/>
      <c r="O121" s="41"/>
    </row>
    <row r="122" customFormat="false" ht="15.75" hidden="false" customHeight="false" outlineLevel="0" collapsed="false">
      <c r="A122" s="42" t="s">
        <v>234</v>
      </c>
      <c r="B122" s="135"/>
      <c r="C122" s="2" t="s">
        <v>117</v>
      </c>
      <c r="D122" s="37" t="s">
        <v>235</v>
      </c>
      <c r="E122" s="172"/>
      <c r="F122" s="173"/>
      <c r="G122" s="40" t="s">
        <v>236</v>
      </c>
      <c r="H122" s="125" t="n">
        <v>5000</v>
      </c>
      <c r="I122" s="118" t="s">
        <v>103</v>
      </c>
      <c r="J122" s="95" t="n">
        <v>600</v>
      </c>
      <c r="K122" s="96" t="s">
        <v>97</v>
      </c>
      <c r="L122" s="97" t="n">
        <v>43237</v>
      </c>
      <c r="M122" s="114" t="s">
        <v>231</v>
      </c>
      <c r="N122" s="174"/>
      <c r="O122" s="175"/>
      <c r="P122" s="102"/>
      <c r="Q122" s="176" t="s">
        <v>146</v>
      </c>
      <c r="R122" s="102"/>
    </row>
    <row r="123" customFormat="false" ht="18" hidden="false" customHeight="false" outlineLevel="0" collapsed="false">
      <c r="A123" s="42"/>
      <c r="B123" s="135"/>
      <c r="D123" s="40" t="s">
        <v>237</v>
      </c>
      <c r="E123" s="33"/>
      <c r="I123" s="165"/>
      <c r="J123" s="41"/>
      <c r="K123" s="20"/>
      <c r="L123" s="41"/>
      <c r="M123" s="108" t="s">
        <v>0</v>
      </c>
      <c r="N123" s="41"/>
      <c r="O123" s="41"/>
      <c r="Q123" s="144"/>
      <c r="R123" s="66"/>
    </row>
    <row r="124" customFormat="false" ht="15.75" hidden="false" customHeight="false" outlineLevel="0" collapsed="false">
      <c r="A124" s="42"/>
      <c r="B124" s="135"/>
      <c r="D124" s="40"/>
      <c r="E124" s="33"/>
      <c r="I124" s="165"/>
      <c r="J124" s="41"/>
      <c r="K124" s="20"/>
      <c r="L124" s="41"/>
      <c r="M124" s="38"/>
      <c r="N124" s="41"/>
      <c r="O124" s="41"/>
    </row>
    <row r="125" s="151" customFormat="true" ht="18" hidden="false" customHeight="true" outlineLevel="0" collapsed="false">
      <c r="A125" s="42"/>
      <c r="B125" s="29" t="s">
        <v>238</v>
      </c>
      <c r="C125" s="44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45"/>
      <c r="R125" s="29"/>
    </row>
    <row r="126" customFormat="false" ht="15" hidden="false" customHeight="false" outlineLevel="0" collapsed="false">
      <c r="A126" s="42"/>
      <c r="D126" s="40"/>
      <c r="E126" s="33"/>
      <c r="F126" s="8"/>
      <c r="J126" s="166"/>
      <c r="K126" s="167"/>
      <c r="L126" s="168"/>
      <c r="M126" s="38"/>
      <c r="N126" s="166"/>
      <c r="O126" s="103"/>
    </row>
    <row r="127" customFormat="false" ht="15.75" hidden="false" customHeight="false" outlineLevel="0" collapsed="false">
      <c r="A127" s="42" t="s">
        <v>239</v>
      </c>
      <c r="B127" s="7" t="s">
        <v>240</v>
      </c>
      <c r="D127" s="37" t="s">
        <v>241</v>
      </c>
      <c r="E127" s="8" t="s">
        <v>242</v>
      </c>
      <c r="F127" s="8" t="s">
        <v>243</v>
      </c>
      <c r="G127" s="40" t="s">
        <v>244</v>
      </c>
      <c r="H127" s="125" t="s">
        <v>102</v>
      </c>
      <c r="I127" s="110" t="n">
        <v>43374</v>
      </c>
      <c r="J127" s="95" t="n">
        <v>565</v>
      </c>
      <c r="K127" s="96"/>
      <c r="L127" s="97"/>
      <c r="M127" s="143" t="s">
        <v>245</v>
      </c>
      <c r="N127" s="96" t="s">
        <v>105</v>
      </c>
      <c r="O127" s="99"/>
      <c r="P127" s="102"/>
      <c r="Q127" s="101" t="s">
        <v>146</v>
      </c>
      <c r="R127" s="102"/>
    </row>
    <row r="128" customFormat="false" ht="15" hidden="false" customHeight="false" outlineLevel="0" collapsed="false">
      <c r="A128" s="42"/>
      <c r="D128" s="40" t="s">
        <v>246</v>
      </c>
      <c r="E128" s="33"/>
      <c r="F128" s="8" t="s">
        <v>247</v>
      </c>
      <c r="J128" s="166"/>
      <c r="K128" s="167"/>
      <c r="L128" s="168"/>
      <c r="M128" s="108" t="s">
        <v>248</v>
      </c>
      <c r="N128" s="166"/>
      <c r="O128" s="103"/>
    </row>
    <row r="129" customFormat="false" ht="15" hidden="false" customHeight="false" outlineLevel="0" collapsed="false">
      <c r="A129" s="42"/>
      <c r="D129" s="40"/>
      <c r="E129" s="33"/>
      <c r="F129" s="8"/>
      <c r="J129" s="166"/>
      <c r="K129" s="167"/>
      <c r="L129" s="168"/>
      <c r="M129" s="38"/>
      <c r="N129" s="166"/>
      <c r="O129" s="103"/>
    </row>
    <row r="130" s="1" customFormat="true" ht="15.75" hidden="false" customHeight="false" outlineLevel="0" collapsed="false">
      <c r="A130" s="42" t="s">
        <v>249</v>
      </c>
      <c r="B130" s="41" t="s">
        <v>240</v>
      </c>
      <c r="D130" s="37" t="s">
        <v>250</v>
      </c>
      <c r="E130" s="8" t="s">
        <v>251</v>
      </c>
      <c r="F130" s="33" t="s">
        <v>252</v>
      </c>
      <c r="G130" s="40" t="s">
        <v>253</v>
      </c>
      <c r="H130" s="128" t="s">
        <v>102</v>
      </c>
      <c r="I130" s="110" t="s">
        <v>103</v>
      </c>
      <c r="J130" s="95" t="n">
        <v>613</v>
      </c>
      <c r="K130" s="96" t="s">
        <v>97</v>
      </c>
      <c r="L130" s="97" t="s">
        <v>97</v>
      </c>
      <c r="M130" s="143" t="s">
        <v>114</v>
      </c>
      <c r="N130" s="96" t="s">
        <v>105</v>
      </c>
      <c r="O130" s="99" t="s">
        <v>106</v>
      </c>
      <c r="P130" s="102"/>
      <c r="Q130" s="101" t="s">
        <v>115</v>
      </c>
      <c r="R130" s="102"/>
    </row>
    <row r="131" customFormat="false" ht="15" hidden="false" customHeight="false" outlineLevel="0" collapsed="false">
      <c r="A131" s="42"/>
      <c r="C131" s="1"/>
      <c r="D131" s="40" t="s">
        <v>254</v>
      </c>
      <c r="E131" s="33" t="s">
        <v>255</v>
      </c>
      <c r="F131" s="8" t="s">
        <v>256</v>
      </c>
      <c r="J131" s="166"/>
      <c r="K131" s="167"/>
      <c r="L131" s="168"/>
      <c r="M131" s="108" t="s">
        <v>0</v>
      </c>
      <c r="N131" s="166"/>
      <c r="O131" s="103"/>
    </row>
    <row r="132" customFormat="false" ht="15" hidden="false" customHeight="false" outlineLevel="0" collapsed="false">
      <c r="A132" s="42"/>
      <c r="D132" s="40"/>
      <c r="E132" s="33"/>
      <c r="F132" s="8"/>
      <c r="J132" s="166"/>
      <c r="K132" s="167"/>
      <c r="L132" s="168"/>
      <c r="M132" s="38"/>
      <c r="N132" s="166"/>
      <c r="O132" s="103"/>
    </row>
    <row r="133" s="151" customFormat="true" ht="18" hidden="false" customHeight="true" outlineLevel="0" collapsed="false">
      <c r="A133" s="42"/>
      <c r="B133" s="29" t="s">
        <v>257</v>
      </c>
      <c r="C133" s="44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45"/>
      <c r="R133" s="29"/>
    </row>
    <row r="134" customFormat="false" ht="12.75" hidden="false" customHeight="false" outlineLevel="0" collapsed="false">
      <c r="A134" s="42"/>
    </row>
    <row r="135" customFormat="false" ht="15.75" hidden="false" customHeight="false" outlineLevel="0" collapsed="false">
      <c r="A135" s="42" t="s">
        <v>258</v>
      </c>
      <c r="B135" s="20" t="s">
        <v>96</v>
      </c>
      <c r="C135" s="2" t="s">
        <v>117</v>
      </c>
      <c r="D135" s="93" t="s">
        <v>259</v>
      </c>
      <c r="E135" s="145" t="s">
        <v>260</v>
      </c>
      <c r="F135" s="145" t="s">
        <v>261</v>
      </c>
      <c r="G135" s="40" t="s">
        <v>262</v>
      </c>
      <c r="H135" s="125" t="s">
        <v>102</v>
      </c>
      <c r="I135" s="110" t="s">
        <v>103</v>
      </c>
      <c r="J135" s="177"/>
      <c r="K135" s="129" t="s">
        <v>97</v>
      </c>
      <c r="L135" s="97" t="s">
        <v>97</v>
      </c>
      <c r="M135" s="143" t="s">
        <v>245</v>
      </c>
      <c r="N135" s="174"/>
      <c r="O135" s="99" t="s">
        <v>105</v>
      </c>
      <c r="P135" s="102"/>
      <c r="Q135" s="101" t="s">
        <v>115</v>
      </c>
      <c r="R135" s="102"/>
    </row>
    <row r="136" customFormat="false" ht="15.75" hidden="false" customHeight="false" outlineLevel="0" collapsed="false">
      <c r="A136" s="42"/>
      <c r="B136" s="14"/>
      <c r="D136" s="40" t="s">
        <v>263</v>
      </c>
      <c r="E136" s="145" t="s">
        <v>264</v>
      </c>
      <c r="F136" s="8"/>
      <c r="G136" s="40"/>
      <c r="H136" s="8"/>
      <c r="I136" s="104"/>
      <c r="J136" s="105"/>
      <c r="K136" s="106"/>
      <c r="L136" s="107"/>
      <c r="M136" s="108"/>
      <c r="N136" s="106"/>
      <c r="O136" s="35"/>
    </row>
    <row r="137" customFormat="false" ht="15.75" hidden="false" customHeight="false" outlineLevel="0" collapsed="false">
      <c r="A137" s="42"/>
      <c r="B137" s="14"/>
      <c r="D137" s="40"/>
      <c r="E137" s="8"/>
      <c r="F137" s="8"/>
      <c r="G137" s="40"/>
      <c r="H137" s="8"/>
      <c r="I137" s="104"/>
      <c r="J137" s="105"/>
      <c r="K137" s="106"/>
      <c r="L137" s="107"/>
      <c r="M137" s="38"/>
      <c r="N137" s="106"/>
      <c r="O137" s="35"/>
    </row>
    <row r="138" s="151" customFormat="true" ht="17.25" hidden="false" customHeight="true" outlineLevel="0" collapsed="false">
      <c r="A138" s="42"/>
      <c r="B138" s="29" t="s">
        <v>265</v>
      </c>
      <c r="C138" s="44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45"/>
      <c r="R138" s="29"/>
    </row>
    <row r="139" customFormat="false" ht="12.75" hidden="false" customHeight="false" outlineLevel="0" collapsed="false">
      <c r="A139" s="42"/>
    </row>
    <row r="140" customFormat="false" ht="12.75" hidden="false" customHeight="false" outlineLevel="0" collapsed="false">
      <c r="A140" s="42"/>
      <c r="B140" s="135"/>
      <c r="D140" s="135"/>
      <c r="E140" s="7"/>
      <c r="F140" s="178"/>
      <c r="G140" s="179"/>
      <c r="H140" s="135"/>
      <c r="I140" s="165"/>
      <c r="J140" s="135"/>
      <c r="K140" s="7"/>
      <c r="L140" s="135"/>
      <c r="N140" s="135"/>
      <c r="O140" s="135"/>
    </row>
    <row r="141" customFormat="false" ht="15.75" hidden="false" customHeight="false" outlineLevel="0" collapsed="false">
      <c r="A141" s="42" t="s">
        <v>266</v>
      </c>
      <c r="B141" s="41" t="s">
        <v>96</v>
      </c>
      <c r="D141" s="93" t="s">
        <v>267</v>
      </c>
      <c r="E141" s="33" t="s">
        <v>268</v>
      </c>
      <c r="F141" s="33" t="s">
        <v>269</v>
      </c>
      <c r="G141" s="40" t="s">
        <v>270</v>
      </c>
      <c r="H141" s="112" t="s">
        <v>102</v>
      </c>
      <c r="I141" s="142" t="s">
        <v>103</v>
      </c>
      <c r="J141" s="95" t="n">
        <v>900</v>
      </c>
      <c r="K141" s="140"/>
      <c r="L141" s="97"/>
      <c r="M141" s="143" t="s">
        <v>245</v>
      </c>
      <c r="N141" s="140" t="s">
        <v>105</v>
      </c>
      <c r="O141" s="102" t="s">
        <v>105</v>
      </c>
      <c r="P141" s="102"/>
      <c r="Q141" s="101" t="s">
        <v>146</v>
      </c>
      <c r="R141" s="102"/>
    </row>
    <row r="142" customFormat="false" ht="15" hidden="false" customHeight="false" outlineLevel="0" collapsed="false">
      <c r="A142" s="42"/>
      <c r="B142" s="135"/>
      <c r="D142" s="40" t="s">
        <v>271</v>
      </c>
      <c r="E142" s="7"/>
      <c r="F142" s="178"/>
      <c r="G142" s="179"/>
      <c r="H142" s="135"/>
      <c r="I142" s="165"/>
      <c r="M142" s="108" t="s">
        <v>272</v>
      </c>
    </row>
    <row r="143" customFormat="false" ht="15" hidden="false" customHeight="false" outlineLevel="0" collapsed="false">
      <c r="A143" s="42"/>
      <c r="B143" s="135"/>
      <c r="D143" s="40"/>
      <c r="E143" s="7"/>
      <c r="F143" s="178"/>
      <c r="G143" s="179"/>
      <c r="H143" s="135"/>
      <c r="I143" s="165"/>
      <c r="M143" s="38"/>
    </row>
    <row r="144" customFormat="false" ht="15.75" hidden="false" customHeight="false" outlineLevel="0" collapsed="false">
      <c r="A144" s="42" t="s">
        <v>273</v>
      </c>
      <c r="B144" s="135" t="s">
        <v>96</v>
      </c>
      <c r="C144" s="2" t="s">
        <v>97</v>
      </c>
      <c r="D144" s="41" t="s">
        <v>274</v>
      </c>
      <c r="E144" s="8" t="s">
        <v>275</v>
      </c>
      <c r="F144" s="8" t="s">
        <v>276</v>
      </c>
      <c r="G144" s="40" t="s">
        <v>277</v>
      </c>
      <c r="H144" s="125" t="n">
        <v>5000</v>
      </c>
      <c r="I144" s="110" t="n">
        <v>43120</v>
      </c>
      <c r="J144" s="95" t="n">
        <v>1000</v>
      </c>
      <c r="K144" s="96" t="s">
        <v>97</v>
      </c>
      <c r="L144" s="97"/>
      <c r="M144" s="114" t="s">
        <v>278</v>
      </c>
      <c r="N144" s="140" t="s">
        <v>105</v>
      </c>
      <c r="O144" s="102" t="s">
        <v>105</v>
      </c>
      <c r="P144" s="102"/>
      <c r="Q144" s="101" t="s">
        <v>199</v>
      </c>
      <c r="R144" s="102"/>
    </row>
    <row r="145" customFormat="false" ht="15" hidden="false" customHeight="false" outlineLevel="0" collapsed="false">
      <c r="A145" s="42"/>
      <c r="B145" s="135"/>
      <c r="D145" s="40" t="s">
        <v>279</v>
      </c>
      <c r="E145" s="7"/>
      <c r="F145" s="178"/>
      <c r="G145" s="179"/>
      <c r="H145" s="135"/>
      <c r="I145" s="165"/>
      <c r="M145" s="108" t="s">
        <v>0</v>
      </c>
    </row>
    <row r="146" customFormat="false" ht="15" hidden="false" customHeight="false" outlineLevel="0" collapsed="false">
      <c r="A146" s="42"/>
      <c r="B146" s="135"/>
      <c r="D146" s="40"/>
      <c r="E146" s="7"/>
      <c r="F146" s="178"/>
      <c r="G146" s="179"/>
      <c r="H146" s="135"/>
      <c r="I146" s="165"/>
      <c r="M146" s="38"/>
    </row>
    <row r="147" customFormat="false" ht="15.75" hidden="false" customHeight="false" outlineLevel="0" collapsed="false">
      <c r="A147" s="42" t="s">
        <v>280</v>
      </c>
      <c r="B147" s="135" t="s">
        <v>240</v>
      </c>
      <c r="C147" s="2" t="s">
        <v>117</v>
      </c>
      <c r="D147" s="41" t="s">
        <v>281</v>
      </c>
      <c r="E147" s="8" t="s">
        <v>282</v>
      </c>
      <c r="F147" s="8" t="s">
        <v>283</v>
      </c>
      <c r="G147" s="40" t="s">
        <v>284</v>
      </c>
      <c r="H147" s="128" t="n">
        <v>10000</v>
      </c>
      <c r="I147" s="110" t="n">
        <v>43160</v>
      </c>
      <c r="J147" s="180" t="n">
        <v>750</v>
      </c>
      <c r="K147" s="129"/>
      <c r="L147" s="97"/>
      <c r="M147" s="114" t="s">
        <v>285</v>
      </c>
      <c r="N147" s="96" t="s">
        <v>106</v>
      </c>
      <c r="O147" s="175"/>
      <c r="P147" s="131"/>
      <c r="Q147" s="101" t="s">
        <v>115</v>
      </c>
      <c r="R147" s="102"/>
    </row>
    <row r="148" customFormat="false" ht="15" hidden="false" customHeight="false" outlineLevel="0" collapsed="false">
      <c r="A148" s="42"/>
      <c r="D148" s="40" t="s">
        <v>286</v>
      </c>
      <c r="E148" s="8" t="s">
        <v>287</v>
      </c>
      <c r="F148" s="8" t="s">
        <v>288</v>
      </c>
      <c r="H148" s="8" t="s">
        <v>0</v>
      </c>
      <c r="J148" s="106"/>
      <c r="K148" s="126"/>
      <c r="L148" s="107"/>
      <c r="M148" s="108" t="s">
        <v>0</v>
      </c>
      <c r="N148" s="106"/>
      <c r="O148" s="35"/>
    </row>
    <row r="149" s="42" customFormat="true" ht="12.95" hidden="false" customHeight="true" outlineLevel="0" collapsed="false">
      <c r="B149" s="47"/>
      <c r="D149" s="48"/>
      <c r="E149" s="48"/>
      <c r="F149" s="49"/>
      <c r="G149" s="50"/>
      <c r="H149" s="51"/>
      <c r="I149" s="52"/>
      <c r="J149" s="53"/>
      <c r="K149" s="48"/>
      <c r="L149" s="54"/>
      <c r="M149" s="55"/>
      <c r="N149" s="51"/>
      <c r="O149" s="51"/>
      <c r="Q149" s="47"/>
    </row>
    <row r="150" s="151" customFormat="true" ht="16.15" hidden="false" customHeight="true" outlineLevel="0" collapsed="false">
      <c r="A150" s="42"/>
      <c r="B150" s="29" t="s">
        <v>289</v>
      </c>
      <c r="C150" s="44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45"/>
      <c r="R150" s="29"/>
    </row>
    <row r="151" customFormat="false" ht="15.75" hidden="false" customHeight="false" outlineLevel="0" collapsed="false">
      <c r="A151" s="42"/>
      <c r="B151" s="41"/>
      <c r="D151" s="41"/>
      <c r="E151" s="132"/>
      <c r="F151" s="124"/>
      <c r="G151" s="40"/>
      <c r="H151" s="8"/>
      <c r="I151" s="104"/>
      <c r="J151" s="106"/>
      <c r="K151" s="126"/>
      <c r="L151" s="107"/>
      <c r="M151" s="38"/>
      <c r="N151" s="106"/>
      <c r="O151" s="14"/>
    </row>
    <row r="152" customFormat="false" ht="15.75" hidden="false" customHeight="false" outlineLevel="0" collapsed="false">
      <c r="A152" s="42" t="s">
        <v>290</v>
      </c>
      <c r="B152" s="181" t="s">
        <v>132</v>
      </c>
      <c r="C152" s="2" t="s">
        <v>117</v>
      </c>
      <c r="D152" s="41" t="s">
        <v>291</v>
      </c>
      <c r="E152" s="8" t="s">
        <v>292</v>
      </c>
      <c r="F152" s="127" t="s">
        <v>293</v>
      </c>
      <c r="G152" s="40" t="s">
        <v>294</v>
      </c>
      <c r="H152" s="8" t="s">
        <v>102</v>
      </c>
      <c r="I152" s="110" t="s">
        <v>103</v>
      </c>
      <c r="J152" s="95" t="n">
        <v>750</v>
      </c>
      <c r="K152" s="129"/>
      <c r="L152" s="97"/>
      <c r="M152" s="143" t="s">
        <v>245</v>
      </c>
      <c r="N152" s="96" t="s">
        <v>105</v>
      </c>
      <c r="O152" s="99" t="s">
        <v>105</v>
      </c>
      <c r="P152" s="131"/>
      <c r="Q152" s="101" t="s">
        <v>107</v>
      </c>
      <c r="R152" s="102"/>
    </row>
    <row r="153" customFormat="false" ht="15.75" hidden="false" customHeight="false" outlineLevel="0" collapsed="false">
      <c r="A153" s="42"/>
      <c r="B153" s="41"/>
      <c r="D153" s="40" t="s">
        <v>295</v>
      </c>
      <c r="E153" s="8" t="s">
        <v>296</v>
      </c>
      <c r="F153" s="8"/>
      <c r="G153" s="40"/>
      <c r="H153" s="8"/>
      <c r="I153" s="104"/>
      <c r="J153" s="106"/>
      <c r="K153" s="126"/>
      <c r="L153" s="107"/>
      <c r="M153" s="108"/>
      <c r="N153" s="106"/>
      <c r="O153" s="14"/>
    </row>
    <row r="154" customFormat="false" ht="15.75" hidden="false" customHeight="false" outlineLevel="0" collapsed="false">
      <c r="A154" s="42"/>
      <c r="B154" s="41"/>
      <c r="D154" s="41"/>
      <c r="E154" s="132"/>
      <c r="F154" s="8"/>
      <c r="G154" s="40"/>
      <c r="H154" s="8"/>
      <c r="I154" s="104"/>
      <c r="J154" s="106"/>
      <c r="K154" s="126"/>
      <c r="L154" s="107"/>
      <c r="M154" s="19"/>
      <c r="N154" s="106"/>
      <c r="O154" s="14"/>
    </row>
    <row r="155" customFormat="false" ht="15.75" hidden="false" customHeight="false" outlineLevel="0" collapsed="false">
      <c r="A155" s="42" t="s">
        <v>297</v>
      </c>
      <c r="B155" s="20" t="s">
        <v>132</v>
      </c>
      <c r="C155" s="2" t="s">
        <v>117</v>
      </c>
      <c r="D155" s="41" t="s">
        <v>298</v>
      </c>
      <c r="E155" s="33" t="s">
        <v>299</v>
      </c>
      <c r="F155" s="182" t="s">
        <v>300</v>
      </c>
      <c r="G155" s="40" t="s">
        <v>301</v>
      </c>
      <c r="H155" s="125" t="s">
        <v>102</v>
      </c>
      <c r="I155" s="183" t="s">
        <v>103</v>
      </c>
      <c r="J155" s="180" t="n">
        <v>650</v>
      </c>
      <c r="K155" s="129"/>
      <c r="L155" s="97"/>
      <c r="M155" s="143" t="s">
        <v>245</v>
      </c>
      <c r="N155" s="96" t="s">
        <v>105</v>
      </c>
      <c r="O155" s="99" t="s">
        <v>105</v>
      </c>
      <c r="P155" s="131"/>
      <c r="Q155" s="101" t="s">
        <v>199</v>
      </c>
      <c r="R155" s="102"/>
    </row>
    <row r="156" customFormat="false" ht="15.75" hidden="false" customHeight="false" outlineLevel="0" collapsed="false">
      <c r="A156" s="42"/>
      <c r="B156" s="20"/>
      <c r="D156" s="40" t="s">
        <v>302</v>
      </c>
      <c r="G156" s="40"/>
      <c r="H156" s="125"/>
      <c r="I156" s="104"/>
      <c r="J156" s="106"/>
      <c r="K156" s="126"/>
      <c r="L156" s="107"/>
      <c r="M156" s="108"/>
      <c r="N156" s="106"/>
      <c r="O156" s="35"/>
    </row>
    <row r="157" customFormat="false" ht="15.75" hidden="false" customHeight="false" outlineLevel="0" collapsed="false">
      <c r="A157" s="42"/>
      <c r="B157" s="20"/>
      <c r="D157" s="40"/>
      <c r="E157" s="8"/>
      <c r="F157" s="124"/>
      <c r="G157" s="40"/>
      <c r="H157" s="125"/>
      <c r="I157" s="104"/>
      <c r="J157" s="106"/>
      <c r="K157" s="126"/>
      <c r="L157" s="107"/>
      <c r="M157" s="38"/>
      <c r="N157" s="106"/>
      <c r="O157" s="35"/>
    </row>
    <row r="158" s="66" customFormat="true" ht="18.75" hidden="false" customHeight="false" outlineLevel="0" collapsed="false">
      <c r="A158" s="42"/>
      <c r="B158" s="63" t="s">
        <v>303</v>
      </c>
      <c r="C158" s="64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5"/>
      <c r="R158" s="63"/>
    </row>
    <row r="159" customFormat="false" ht="15.75" hidden="false" customHeight="false" outlineLevel="0" collapsed="false">
      <c r="A159" s="42"/>
      <c r="B159" s="41"/>
      <c r="D159" s="152" t="s">
        <v>76</v>
      </c>
      <c r="E159" s="153" t="s">
        <v>77</v>
      </c>
      <c r="F159" s="154" t="s">
        <v>78</v>
      </c>
      <c r="G159" s="155" t="s">
        <v>79</v>
      </c>
      <c r="H159" s="71" t="s">
        <v>79</v>
      </c>
      <c r="I159" s="72" t="s">
        <v>80</v>
      </c>
      <c r="J159" s="73" t="s">
        <v>81</v>
      </c>
      <c r="K159" s="74" t="s">
        <v>82</v>
      </c>
      <c r="L159" s="156" t="s">
        <v>83</v>
      </c>
      <c r="M159" s="71" t="s">
        <v>84</v>
      </c>
      <c r="N159" s="71" t="s">
        <v>85</v>
      </c>
      <c r="O159" s="74" t="s">
        <v>86</v>
      </c>
      <c r="P159" s="157" t="s">
        <v>87</v>
      </c>
      <c r="Q159" s="77" t="s">
        <v>88</v>
      </c>
      <c r="R159" s="78" t="s">
        <v>89</v>
      </c>
    </row>
    <row r="160" customFormat="false" ht="16.5" hidden="false" customHeight="false" outlineLevel="0" collapsed="false">
      <c r="A160" s="42"/>
      <c r="B160" s="41"/>
      <c r="D160" s="152"/>
      <c r="E160" s="153"/>
      <c r="F160" s="154"/>
      <c r="G160" s="155"/>
      <c r="H160" s="71"/>
      <c r="I160" s="158" t="s">
        <v>209</v>
      </c>
      <c r="J160" s="159" t="s">
        <v>91</v>
      </c>
      <c r="K160" s="160" t="s">
        <v>92</v>
      </c>
      <c r="L160" s="156"/>
      <c r="M160" s="71"/>
      <c r="N160" s="71"/>
      <c r="O160" s="161" t="s">
        <v>93</v>
      </c>
      <c r="P160" s="157"/>
      <c r="Q160" s="79"/>
      <c r="R160" s="184" t="s">
        <v>94</v>
      </c>
    </row>
    <row r="161" customFormat="false" ht="18" hidden="false" customHeight="false" outlineLevel="0" collapsed="false">
      <c r="A161" s="42"/>
      <c r="B161" s="41"/>
      <c r="D161" s="48"/>
      <c r="E161" s="48"/>
      <c r="F161" s="49"/>
      <c r="G161" s="50"/>
      <c r="H161" s="51"/>
      <c r="I161" s="52"/>
      <c r="J161" s="53"/>
      <c r="K161" s="48"/>
      <c r="L161" s="54"/>
      <c r="M161" s="51"/>
      <c r="N161" s="51"/>
      <c r="O161" s="51"/>
      <c r="P161" s="185"/>
    </row>
    <row r="162" customFormat="false" ht="18" hidden="false" customHeight="false" outlineLevel="0" collapsed="false">
      <c r="A162" s="42"/>
      <c r="B162" s="41"/>
      <c r="D162" s="48"/>
      <c r="E162" s="48"/>
      <c r="F162" s="49"/>
      <c r="G162" s="186"/>
      <c r="H162" s="51"/>
      <c r="I162" s="52"/>
      <c r="J162" s="53"/>
      <c r="K162" s="48"/>
      <c r="L162" s="54"/>
      <c r="M162" s="51"/>
      <c r="N162" s="51"/>
      <c r="O162" s="51"/>
      <c r="P162" s="185"/>
    </row>
    <row r="163" customFormat="false" ht="15.75" hidden="false" customHeight="false" outlineLevel="0" collapsed="false">
      <c r="A163" s="42"/>
      <c r="B163" s="20"/>
      <c r="D163" s="40"/>
      <c r="E163" s="8"/>
      <c r="F163" s="124"/>
      <c r="G163" s="40"/>
      <c r="H163" s="125"/>
      <c r="I163" s="104"/>
      <c r="J163" s="106"/>
      <c r="K163" s="126"/>
      <c r="L163" s="107"/>
      <c r="M163" s="38"/>
      <c r="N163" s="106"/>
      <c r="O163" s="35"/>
    </row>
    <row r="164" s="189" customFormat="true" ht="19.5" hidden="false" customHeight="true" outlineLevel="0" collapsed="false">
      <c r="A164" s="42"/>
      <c r="B164" s="187" t="s">
        <v>39</v>
      </c>
      <c r="C164" s="133"/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8"/>
      <c r="R164" s="187"/>
    </row>
    <row r="165" customFormat="false" ht="12.95" hidden="false" customHeight="true" outlineLevel="0" collapsed="false">
      <c r="A165" s="42"/>
      <c r="B165" s="14"/>
      <c r="D165" s="14"/>
      <c r="E165" s="8"/>
      <c r="F165" s="26"/>
      <c r="G165" s="40"/>
      <c r="H165" s="8"/>
      <c r="I165" s="14"/>
      <c r="J165" s="14"/>
      <c r="K165" s="8"/>
      <c r="L165" s="18"/>
      <c r="M165" s="19"/>
      <c r="N165" s="8"/>
      <c r="O165" s="14"/>
    </row>
    <row r="166" customFormat="false" ht="15.75" hidden="false" customHeight="false" outlineLevel="0" collapsed="false">
      <c r="A166" s="42" t="s">
        <v>304</v>
      </c>
      <c r="B166" s="41" t="s">
        <v>305</v>
      </c>
      <c r="C166" s="2" t="s">
        <v>117</v>
      </c>
      <c r="D166" s="41" t="s">
        <v>306</v>
      </c>
      <c r="E166" s="33" t="s">
        <v>307</v>
      </c>
      <c r="F166" s="8" t="s">
        <v>308</v>
      </c>
      <c r="G166" s="40" t="s">
        <v>309</v>
      </c>
      <c r="H166" s="125" t="n">
        <v>5000</v>
      </c>
      <c r="I166" s="190" t="s">
        <v>103</v>
      </c>
      <c r="J166" s="95" t="n">
        <v>700</v>
      </c>
      <c r="K166" s="96"/>
      <c r="L166" s="97"/>
      <c r="M166" s="143" t="s">
        <v>245</v>
      </c>
      <c r="N166" s="96" t="s">
        <v>105</v>
      </c>
      <c r="O166" s="99" t="s">
        <v>105</v>
      </c>
      <c r="P166" s="131"/>
      <c r="Q166" s="176" t="s">
        <v>146</v>
      </c>
      <c r="R166" s="102"/>
    </row>
    <row r="167" customFormat="false" ht="15" hidden="false" customHeight="false" outlineLevel="0" collapsed="false">
      <c r="A167" s="42"/>
      <c r="B167" s="14"/>
      <c r="D167" s="40" t="s">
        <v>310</v>
      </c>
      <c r="E167" s="33" t="s">
        <v>311</v>
      </c>
      <c r="F167" s="8" t="s">
        <v>312</v>
      </c>
      <c r="G167" s="40"/>
      <c r="H167" s="8"/>
      <c r="I167" s="106"/>
      <c r="J167" s="191"/>
      <c r="K167" s="106"/>
      <c r="L167" s="107"/>
      <c r="M167" s="108" t="s">
        <v>313</v>
      </c>
      <c r="N167" s="35"/>
      <c r="O167" s="14"/>
    </row>
    <row r="168" customFormat="false" ht="15" hidden="false" customHeight="false" outlineLevel="0" collapsed="false">
      <c r="A168" s="42"/>
      <c r="E168" s="8"/>
      <c r="F168" s="8"/>
    </row>
    <row r="169" customFormat="false" ht="15.75" hidden="false" customHeight="false" outlineLevel="0" collapsed="false">
      <c r="A169" s="42" t="s">
        <v>314</v>
      </c>
      <c r="B169" s="41" t="s">
        <v>305</v>
      </c>
      <c r="C169" s="2" t="s">
        <v>117</v>
      </c>
      <c r="D169" s="93" t="s">
        <v>315</v>
      </c>
      <c r="E169" s="8" t="s">
        <v>316</v>
      </c>
      <c r="F169" s="8" t="s">
        <v>317</v>
      </c>
      <c r="G169" s="40" t="s">
        <v>318</v>
      </c>
      <c r="H169" s="8" t="s">
        <v>102</v>
      </c>
      <c r="I169" s="94" t="s">
        <v>103</v>
      </c>
      <c r="J169" s="120" t="n">
        <v>675</v>
      </c>
      <c r="K169" s="96" t="s">
        <v>97</v>
      </c>
      <c r="L169" s="121" t="s">
        <v>97</v>
      </c>
      <c r="M169" s="143" t="s">
        <v>245</v>
      </c>
      <c r="N169" s="149" t="s">
        <v>105</v>
      </c>
      <c r="O169" s="192" t="s">
        <v>106</v>
      </c>
      <c r="P169" s="102"/>
      <c r="Q169" s="101" t="s">
        <v>115</v>
      </c>
      <c r="R169" s="102"/>
    </row>
    <row r="170" customFormat="false" ht="15" hidden="false" customHeight="false" outlineLevel="0" collapsed="false">
      <c r="A170" s="42"/>
      <c r="D170" s="40" t="s">
        <v>319</v>
      </c>
      <c r="E170" s="8"/>
      <c r="F170" s="8"/>
      <c r="I170" s="104"/>
      <c r="K170" s="8"/>
      <c r="L170" s="18"/>
      <c r="M170" s="108" t="s">
        <v>320</v>
      </c>
    </row>
    <row r="171" customFormat="false" ht="15" hidden="false" customHeight="false" outlineLevel="0" collapsed="false">
      <c r="A171" s="42"/>
      <c r="K171" s="8"/>
      <c r="L171" s="18"/>
    </row>
    <row r="172" customFormat="false" ht="15.75" hidden="false" customHeight="false" outlineLevel="0" collapsed="false">
      <c r="A172" s="42" t="s">
        <v>321</v>
      </c>
      <c r="B172" s="41" t="s">
        <v>305</v>
      </c>
      <c r="C172" s="2" t="s">
        <v>117</v>
      </c>
      <c r="D172" s="93" t="s">
        <v>322</v>
      </c>
      <c r="E172" s="137" t="s">
        <v>323</v>
      </c>
      <c r="F172" s="106" t="s">
        <v>324</v>
      </c>
      <c r="G172" s="40" t="s">
        <v>325</v>
      </c>
      <c r="H172" s="8" t="s">
        <v>326</v>
      </c>
      <c r="I172" s="110" t="s">
        <v>103</v>
      </c>
      <c r="J172" s="120" t="n">
        <v>550</v>
      </c>
      <c r="K172" s="96" t="s">
        <v>97</v>
      </c>
      <c r="L172" s="121" t="n">
        <v>43162</v>
      </c>
      <c r="M172" s="143" t="s">
        <v>245</v>
      </c>
      <c r="N172" s="149" t="s">
        <v>105</v>
      </c>
      <c r="O172" s="102" t="s">
        <v>105</v>
      </c>
      <c r="P172" s="102"/>
      <c r="Q172" s="101" t="s">
        <v>199</v>
      </c>
      <c r="R172" s="102"/>
    </row>
    <row r="173" customFormat="false" ht="15" hidden="false" customHeight="false" outlineLevel="0" collapsed="false">
      <c r="A173" s="42"/>
      <c r="D173" s="40" t="s">
        <v>327</v>
      </c>
      <c r="E173" s="8"/>
      <c r="F173" s="8"/>
      <c r="I173" s="104"/>
      <c r="M173" s="108"/>
    </row>
    <row r="174" s="14" customFormat="true" ht="15.75" hidden="false" customHeight="false" outlineLevel="0" collapsed="false">
      <c r="A174" s="42"/>
      <c r="B174" s="41"/>
      <c r="C174" s="2"/>
      <c r="E174" s="8"/>
      <c r="F174" s="26"/>
      <c r="G174" s="40"/>
      <c r="H174" s="8"/>
      <c r="K174" s="8"/>
      <c r="L174" s="18"/>
      <c r="M174" s="19"/>
      <c r="N174" s="8"/>
      <c r="Q174" s="20"/>
    </row>
    <row r="175" customFormat="false" ht="15.75" hidden="false" customHeight="false" outlineLevel="0" collapsed="false">
      <c r="A175" s="42" t="s">
        <v>328</v>
      </c>
      <c r="B175" s="135" t="s">
        <v>305</v>
      </c>
      <c r="C175" s="2" t="s">
        <v>97</v>
      </c>
      <c r="D175" s="41" t="s">
        <v>329</v>
      </c>
      <c r="E175" s="8" t="s">
        <v>330</v>
      </c>
      <c r="F175" s="8" t="s">
        <v>331</v>
      </c>
      <c r="G175" s="40" t="s">
        <v>332</v>
      </c>
      <c r="H175" s="8" t="s">
        <v>333</v>
      </c>
      <c r="I175" s="193" t="s">
        <v>103</v>
      </c>
      <c r="J175" s="120" t="n">
        <v>730</v>
      </c>
      <c r="K175" s="96"/>
      <c r="L175" s="121" t="n">
        <v>43208</v>
      </c>
      <c r="M175" s="143" t="s">
        <v>245</v>
      </c>
      <c r="N175" s="149" t="s">
        <v>106</v>
      </c>
      <c r="O175" s="102" t="s">
        <v>105</v>
      </c>
      <c r="P175" s="102"/>
      <c r="Q175" s="176" t="s">
        <v>146</v>
      </c>
      <c r="R175" s="102"/>
    </row>
    <row r="176" customFormat="false" ht="15" hidden="false" customHeight="false" outlineLevel="0" collapsed="false">
      <c r="A176" s="42"/>
      <c r="B176" s="135"/>
      <c r="D176" s="40" t="s">
        <v>334</v>
      </c>
      <c r="M176" s="108"/>
    </row>
    <row r="177" customFormat="false" ht="12.75" hidden="false" customHeight="false" outlineLevel="0" collapsed="false">
      <c r="A177" s="42"/>
    </row>
    <row r="178" customFormat="false" ht="15.75" hidden="false" customHeight="false" outlineLevel="0" collapsed="false">
      <c r="A178" s="42" t="s">
        <v>335</v>
      </c>
      <c r="B178" s="135" t="s">
        <v>305</v>
      </c>
      <c r="C178" s="2" t="s">
        <v>117</v>
      </c>
      <c r="D178" s="37" t="s">
        <v>336</v>
      </c>
      <c r="E178" s="8" t="s">
        <v>337</v>
      </c>
      <c r="F178" s="8" t="s">
        <v>338</v>
      </c>
      <c r="G178" s="40" t="s">
        <v>339</v>
      </c>
      <c r="H178" s="194"/>
      <c r="I178" s="110" t="n">
        <v>43151</v>
      </c>
      <c r="J178" s="120" t="n">
        <v>640</v>
      </c>
      <c r="K178" s="96"/>
      <c r="L178" s="121"/>
      <c r="M178" s="143" t="s">
        <v>245</v>
      </c>
      <c r="N178" s="149" t="s">
        <v>106</v>
      </c>
      <c r="O178" s="123"/>
      <c r="P178" s="102"/>
      <c r="Q178" s="176" t="s">
        <v>146</v>
      </c>
      <c r="R178" s="102"/>
    </row>
    <row r="179" customFormat="false" ht="15" hidden="false" customHeight="false" outlineLevel="0" collapsed="false">
      <c r="A179" s="42"/>
      <c r="C179" s="1"/>
      <c r="D179" s="40" t="s">
        <v>340</v>
      </c>
      <c r="E179" s="8" t="s">
        <v>341</v>
      </c>
      <c r="F179" s="1"/>
      <c r="G179" s="1"/>
      <c r="H179" s="1"/>
      <c r="M179" s="108" t="s">
        <v>0</v>
      </c>
    </row>
    <row r="180" customFormat="false" ht="12.75" hidden="false" customHeight="false" outlineLevel="0" collapsed="false">
      <c r="A180" s="42"/>
    </row>
    <row r="181" customFormat="false" ht="15.75" hidden="false" customHeight="false" outlineLevel="0" collapsed="false">
      <c r="A181" s="1" t="s">
        <v>342</v>
      </c>
      <c r="B181" s="135" t="s">
        <v>305</v>
      </c>
      <c r="D181" s="41" t="s">
        <v>343</v>
      </c>
      <c r="E181" s="118"/>
      <c r="F181" s="119"/>
      <c r="G181" s="40" t="s">
        <v>344</v>
      </c>
      <c r="H181" s="195"/>
      <c r="I181" s="194"/>
      <c r="J181" s="120" t="n">
        <v>500</v>
      </c>
      <c r="K181" s="96"/>
      <c r="L181" s="121" t="n">
        <v>42740</v>
      </c>
      <c r="M181" s="114" t="s">
        <v>345</v>
      </c>
      <c r="N181" s="149" t="s">
        <v>105</v>
      </c>
      <c r="O181" s="123"/>
      <c r="P181" s="102"/>
      <c r="Q181" s="176" t="s">
        <v>146</v>
      </c>
      <c r="R181" s="102"/>
    </row>
    <row r="182" customFormat="false" ht="15" hidden="false" customHeight="false" outlineLevel="0" collapsed="false">
      <c r="D182" s="40" t="s">
        <v>346</v>
      </c>
      <c r="E182" s="8"/>
      <c r="F182" s="26"/>
      <c r="L182" s="5" t="s">
        <v>0</v>
      </c>
      <c r="M182" s="108" t="s">
        <v>0</v>
      </c>
    </row>
    <row r="183" customFormat="false" ht="15" hidden="false" customHeight="false" outlineLevel="0" collapsed="false">
      <c r="D183" s="40"/>
      <c r="E183" s="8"/>
      <c r="F183" s="26"/>
      <c r="M183" s="38"/>
    </row>
    <row r="184" customFormat="false" ht="15.75" hidden="false" customHeight="false" outlineLevel="0" collapsed="false">
      <c r="A184" s="1" t="s">
        <v>347</v>
      </c>
      <c r="B184" s="135" t="s">
        <v>305</v>
      </c>
      <c r="D184" s="37" t="s">
        <v>348</v>
      </c>
      <c r="E184" s="118"/>
      <c r="F184" s="119"/>
      <c r="G184" s="40" t="s">
        <v>349</v>
      </c>
      <c r="H184" s="195"/>
      <c r="I184" s="194"/>
      <c r="J184" s="120" t="n">
        <v>590</v>
      </c>
      <c r="K184" s="96"/>
      <c r="L184" s="121"/>
      <c r="M184" s="114" t="s">
        <v>350</v>
      </c>
      <c r="N184" s="149" t="s">
        <v>105</v>
      </c>
      <c r="O184" s="123"/>
      <c r="P184" s="102"/>
      <c r="Q184" s="101" t="s">
        <v>107</v>
      </c>
      <c r="R184" s="102"/>
    </row>
    <row r="185" customFormat="false" ht="15" hidden="false" customHeight="false" outlineLevel="0" collapsed="false">
      <c r="D185" s="40" t="s">
        <v>351</v>
      </c>
      <c r="E185" s="8"/>
      <c r="F185" s="26"/>
      <c r="M185" s="108" t="s">
        <v>0</v>
      </c>
    </row>
    <row r="186" customFormat="false" ht="15" hidden="false" customHeight="false" outlineLevel="0" collapsed="false">
      <c r="D186" s="40"/>
      <c r="E186" s="8"/>
      <c r="F186" s="26"/>
      <c r="M186" s="38"/>
    </row>
    <row r="187" customFormat="false" ht="15.75" hidden="false" customHeight="false" outlineLevel="0" collapsed="false">
      <c r="A187" s="1" t="s">
        <v>352</v>
      </c>
      <c r="B187" s="135" t="s">
        <v>305</v>
      </c>
      <c r="D187" s="37" t="s">
        <v>353</v>
      </c>
      <c r="E187" s="118"/>
      <c r="F187" s="119"/>
      <c r="G187" s="40" t="s">
        <v>354</v>
      </c>
      <c r="H187" s="195"/>
      <c r="I187" s="194"/>
      <c r="J187" s="120" t="n">
        <v>680</v>
      </c>
      <c r="K187" s="96"/>
      <c r="L187" s="121"/>
      <c r="M187" s="114" t="s">
        <v>355</v>
      </c>
      <c r="N187" s="149" t="s">
        <v>105</v>
      </c>
      <c r="O187" s="123"/>
      <c r="P187" s="102"/>
      <c r="Q187" s="176" t="s">
        <v>146</v>
      </c>
      <c r="R187" s="102"/>
    </row>
    <row r="188" customFormat="false" ht="15" hidden="false" customHeight="false" outlineLevel="0" collapsed="false">
      <c r="D188" s="40" t="s">
        <v>356</v>
      </c>
      <c r="E188" s="8"/>
      <c r="F188" s="26"/>
      <c r="M188" s="108" t="s">
        <v>0</v>
      </c>
    </row>
    <row r="189" customFormat="false" ht="15" hidden="false" customHeight="false" outlineLevel="0" collapsed="false">
      <c r="D189" s="40"/>
      <c r="E189" s="8"/>
      <c r="F189" s="26"/>
      <c r="M189" s="38"/>
    </row>
    <row r="190" customFormat="false" ht="15.75" hidden="false" customHeight="false" outlineLevel="0" collapsed="false">
      <c r="A190" s="1" t="s">
        <v>357</v>
      </c>
      <c r="B190" s="135" t="s">
        <v>305</v>
      </c>
      <c r="D190" s="37" t="s">
        <v>358</v>
      </c>
      <c r="E190" s="118"/>
      <c r="F190" s="119"/>
      <c r="G190" s="40" t="s">
        <v>359</v>
      </c>
      <c r="H190" s="195"/>
      <c r="I190" s="196"/>
      <c r="J190" s="197"/>
      <c r="K190" s="96"/>
      <c r="L190" s="121"/>
      <c r="M190" s="114" t="s">
        <v>360</v>
      </c>
      <c r="N190" s="149" t="s">
        <v>106</v>
      </c>
      <c r="O190" s="123"/>
      <c r="P190" s="102"/>
      <c r="Q190" s="176" t="s">
        <v>146</v>
      </c>
      <c r="R190" s="102"/>
    </row>
    <row r="191" customFormat="false" ht="15" hidden="false" customHeight="false" outlineLevel="0" collapsed="false">
      <c r="D191" s="40" t="s">
        <v>361</v>
      </c>
      <c r="E191" s="198"/>
      <c r="F191" s="26"/>
      <c r="M191" s="108" t="s">
        <v>0</v>
      </c>
    </row>
    <row r="192" customFormat="false" ht="15" hidden="false" customHeight="false" outlineLevel="0" collapsed="false">
      <c r="D192" s="40"/>
      <c r="E192" s="8"/>
      <c r="F192" s="26"/>
      <c r="M192" s="38"/>
    </row>
    <row r="193" customFormat="false" ht="15" hidden="false" customHeight="false" outlineLevel="0" collapsed="false">
      <c r="D193" s="40"/>
      <c r="E193" s="8"/>
      <c r="F193" s="26"/>
      <c r="M193" s="38"/>
    </row>
    <row r="194" customFormat="false" ht="15" hidden="false" customHeight="false" outlineLevel="0" collapsed="false">
      <c r="D194" s="40"/>
      <c r="E194" s="8"/>
      <c r="F194" s="26"/>
      <c r="M194" s="38"/>
    </row>
    <row r="195" customFormat="false" ht="15" hidden="false" customHeight="false" outlineLevel="0" collapsed="false">
      <c r="D195" s="40"/>
      <c r="E195" s="8"/>
      <c r="F195" s="26"/>
      <c r="M195" s="38"/>
    </row>
    <row r="196" customFormat="false" ht="12.75" hidden="false" customHeight="false" outlineLevel="0" collapsed="false">
      <c r="A196" s="42"/>
    </row>
    <row r="197" customFormat="false" ht="12.75" hidden="false" customHeight="false" outlineLevel="0" collapsed="false">
      <c r="A197" s="42"/>
    </row>
    <row r="198" customFormat="false" ht="12.75" hidden="false" customHeight="false" outlineLevel="0" collapsed="false">
      <c r="A198" s="42"/>
    </row>
    <row r="199" customFormat="false" ht="12.75" hidden="false" customHeight="false" outlineLevel="0" collapsed="false">
      <c r="A199" s="42" t="s">
        <v>362</v>
      </c>
    </row>
  </sheetData>
  <mergeCells count="31">
    <mergeCell ref="B2:H2"/>
    <mergeCell ref="D3:E3"/>
    <mergeCell ref="B29:H29"/>
    <mergeCell ref="J44:K44"/>
    <mergeCell ref="D60:D61"/>
    <mergeCell ref="E60:E61"/>
    <mergeCell ref="F60:F61"/>
    <mergeCell ref="G60:G61"/>
    <mergeCell ref="H60:H61"/>
    <mergeCell ref="L60:L61"/>
    <mergeCell ref="M60:M61"/>
    <mergeCell ref="N60:N61"/>
    <mergeCell ref="P60:P61"/>
    <mergeCell ref="D110:D111"/>
    <mergeCell ref="E110:E111"/>
    <mergeCell ref="F110:F111"/>
    <mergeCell ref="G110:G111"/>
    <mergeCell ref="H110:H111"/>
    <mergeCell ref="L110:L111"/>
    <mergeCell ref="M110:M111"/>
    <mergeCell ref="N110:N111"/>
    <mergeCell ref="P110:P111"/>
    <mergeCell ref="D159:D160"/>
    <mergeCell ref="E159:E160"/>
    <mergeCell ref="F159:F160"/>
    <mergeCell ref="G159:G160"/>
    <mergeCell ref="H159:H160"/>
    <mergeCell ref="L159:L160"/>
    <mergeCell ref="M159:M160"/>
    <mergeCell ref="N159:N160"/>
    <mergeCell ref="P159:P160"/>
  </mergeCells>
  <conditionalFormatting sqref="A196:A199 A42:A55 A57:A180">
    <cfRule type="expression" priority="2" aboveAverage="0" equalAverage="0" bottom="0" percent="0" rank="0" text="" dxfId="0">
      <formula>AND(ISNA(VLOOKUP(A42,data,1,0)),A42&lt;&gt;"")</formula>
    </cfRule>
  </conditionalFormatting>
  <conditionalFormatting sqref="A56">
    <cfRule type="expression" priority="3" aboveAverage="0" equalAverage="0" bottom="0" percent="0" rank="0" text="" dxfId="1">
      <formula>AND(ISNA(VLOOKUP(A56,data,1,0)),A56&lt;&gt;"")</formula>
    </cfRule>
  </conditionalFormatting>
  <hyperlinks>
    <hyperlink ref="E80" r:id="rId1" display="jeff@oldtowndesigngroup.com"/>
    <hyperlink ref="E81" r:id="rId2" display="Wendy@everythinghomedesigns.com"/>
    <hyperlink ref="E95" r:id="rId3" display="jpcharles@fedex.com"/>
    <hyperlink ref="E98" r:id="rId4" display="ajobs@ajassociatespc.com"/>
    <hyperlink ref="E101" r:id="rId5" display="jeffcoop64@gmail.com"/>
    <hyperlink ref="E113" r:id="rId6" display="msam@frontier.com"/>
    <hyperlink ref="E135" r:id="rId7" display="matt.broughton@wellsfargo.com"/>
    <hyperlink ref="F135" r:id="rId8" display="317-258-5829"/>
    <hyperlink ref="E172" r:id="rId9" display="rsawyer@smithsawyerins.com"/>
  </hyperlinks>
  <printOptions headings="false" gridLines="false" gridLinesSet="true" horizontalCentered="false" verticalCentered="false"/>
  <pageMargins left="0.25" right="0.25" top="0.75" bottom="0.75" header="0.511805555555555" footer="0.511805555555555"/>
  <pageSetup paperSize="3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rowBreaks count="3" manualBreakCount="3">
    <brk id="58" man="true" max="16383" min="0"/>
    <brk id="108" man="true" max="16383" min="0"/>
    <brk id="149" man="true" max="16383" min="0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2" activeCellId="0" sqref="A12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C1" s="199" t="s">
        <v>363</v>
      </c>
      <c r="D1" s="199"/>
      <c r="E1" s="199" t="s">
        <v>364</v>
      </c>
      <c r="F1" s="199"/>
      <c r="G1" s="199" t="s">
        <v>365</v>
      </c>
      <c r="H1" s="199"/>
      <c r="I1" s="199" t="s">
        <v>366</v>
      </c>
      <c r="J1" s="199"/>
      <c r="K1" s="199" t="s">
        <v>367</v>
      </c>
      <c r="L1" s="199"/>
      <c r="M1" s="199" t="s">
        <v>368</v>
      </c>
      <c r="N1" s="199"/>
    </row>
    <row r="2" customFormat="false" ht="35.25" hidden="false" customHeight="false" outlineLevel="0" collapsed="false">
      <c r="B2" s="200" t="s">
        <v>369</v>
      </c>
      <c r="C2" s="201" t="s">
        <v>370</v>
      </c>
      <c r="D2" s="200" t="s">
        <v>371</v>
      </c>
      <c r="E2" s="201" t="s">
        <v>370</v>
      </c>
      <c r="F2" s="200" t="s">
        <v>371</v>
      </c>
      <c r="G2" s="201" t="s">
        <v>370</v>
      </c>
      <c r="H2" s="200" t="s">
        <v>371</v>
      </c>
      <c r="I2" s="201" t="s">
        <v>370</v>
      </c>
      <c r="J2" s="200" t="s">
        <v>371</v>
      </c>
      <c r="K2" s="201" t="s">
        <v>370</v>
      </c>
      <c r="L2" s="200" t="s">
        <v>371</v>
      </c>
      <c r="M2" s="201" t="s">
        <v>370</v>
      </c>
      <c r="N2" s="200" t="s">
        <v>371</v>
      </c>
    </row>
    <row r="3" customFormat="false" ht="12.8" hidden="false" customHeight="false" outlineLevel="0" collapsed="false">
      <c r="A3" s="0" t="s">
        <v>372</v>
      </c>
      <c r="B3" s="202" t="s">
        <v>97</v>
      </c>
      <c r="C3" s="203" t="n">
        <v>10</v>
      </c>
      <c r="D3" s="2" t="n">
        <v>5</v>
      </c>
      <c r="E3" s="203" t="n">
        <v>10</v>
      </c>
      <c r="F3" s="2" t="n">
        <v>1</v>
      </c>
      <c r="G3" s="203" t="n">
        <v>6</v>
      </c>
      <c r="H3" s="203"/>
      <c r="I3" s="203" t="n">
        <v>5</v>
      </c>
      <c r="J3" s="203"/>
      <c r="K3" s="203" t="n">
        <v>4</v>
      </c>
      <c r="L3" s="203"/>
      <c r="M3" s="203" t="n">
        <v>2</v>
      </c>
      <c r="N3" s="2"/>
    </row>
    <row r="4" customFormat="false" ht="12.8" hidden="false" customHeight="false" outlineLevel="0" collapsed="false">
      <c r="A4" s="0" t="s">
        <v>373</v>
      </c>
      <c r="B4" s="202" t="s">
        <v>117</v>
      </c>
      <c r="C4" s="203" t="n">
        <v>5</v>
      </c>
      <c r="D4" s="2" t="n">
        <v>5</v>
      </c>
      <c r="E4" s="203" t="n">
        <v>5</v>
      </c>
      <c r="F4" s="2" t="n">
        <v>1</v>
      </c>
      <c r="G4" s="203" t="n">
        <v>4</v>
      </c>
      <c r="H4" s="203"/>
      <c r="I4" s="203" t="n">
        <v>3</v>
      </c>
      <c r="J4" s="203"/>
      <c r="K4" s="203" t="n">
        <v>2</v>
      </c>
      <c r="L4" s="203"/>
      <c r="M4" s="203" t="n">
        <v>1</v>
      </c>
      <c r="N4" s="203"/>
    </row>
  </sheetData>
  <mergeCells count="6">
    <mergeCell ref="C1:D1"/>
    <mergeCell ref="E1:F1"/>
    <mergeCell ref="G1:H1"/>
    <mergeCell ref="I1:J1"/>
    <mergeCell ref="K1:L1"/>
    <mergeCell ref="M1:N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8" activeCellId="0" sqref="A8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204" t="s">
        <v>369</v>
      </c>
      <c r="B1" s="204" t="s">
        <v>374</v>
      </c>
    </row>
    <row r="2" customFormat="false" ht="12.8" hidden="false" customHeight="false" outlineLevel="0" collapsed="false">
      <c r="A2" s="0" t="s">
        <v>96</v>
      </c>
      <c r="B2" s="0" t="s">
        <v>375</v>
      </c>
    </row>
    <row r="3" customFormat="false" ht="12.8" hidden="false" customHeight="false" outlineLevel="0" collapsed="false">
      <c r="A3" s="0" t="s">
        <v>125</v>
      </c>
      <c r="B3" s="0" t="s">
        <v>376</v>
      </c>
    </row>
    <row r="4" customFormat="false" ht="12.8" hidden="false" customHeight="false" outlineLevel="0" collapsed="false">
      <c r="A4" s="0" t="s">
        <v>132</v>
      </c>
      <c r="B4" s="0" t="s">
        <v>377</v>
      </c>
    </row>
    <row r="5" customFormat="false" ht="12.8" hidden="false" customHeight="false" outlineLevel="0" collapsed="false">
      <c r="A5" s="0" t="s">
        <v>211</v>
      </c>
      <c r="B5" s="0" t="s">
        <v>378</v>
      </c>
    </row>
    <row r="6" customFormat="false" ht="12.8" hidden="false" customHeight="false" outlineLevel="0" collapsed="false">
      <c r="A6" s="0" t="s">
        <v>305</v>
      </c>
      <c r="B6" s="0" t="s">
        <v>379</v>
      </c>
    </row>
    <row r="7" customFormat="false" ht="12.8" hidden="false" customHeight="false" outlineLevel="0" collapsed="false">
      <c r="A7" s="0" t="s">
        <v>380</v>
      </c>
      <c r="B7" s="0" t="s">
        <v>381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879</TotalTime>
  <Application>LibreOffice/5.4.2.2$Linux_X86_64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2012-02-07T20:15:55Z</dcterms:created>
  <dc:creator>Justin Moffett</dc:creator>
  <dc:description/>
  <dc:language>en-US</dc:language>
  <cp:lastModifiedBy/>
  <cp:lastPrinted>2017-12-28T22:03:48Z</cp:lastPrinted>
  <dcterms:modified xsi:type="dcterms:W3CDTF">2018-01-05T09:41:30Z</dcterms:modified>
  <cp:revision>15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PS9Connected">
    <vt:bool>1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